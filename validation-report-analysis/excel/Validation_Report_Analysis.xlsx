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eks\Downloads\"/>
    </mc:Choice>
  </mc:AlternateContent>
  <xr:revisionPtr revIDLastSave="0" documentId="13_ncr:1_{EA1EC1F4-983F-4905-9313-2F9D8B729540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Report_Data" sheetId="1" r:id="rId1"/>
    <sheet name="Summary" sheetId="2" r:id="rId2"/>
    <sheet name="PivotTable" sheetId="3" r:id="rId3"/>
    <sheet name="Filter_View" sheetId="4" r:id="rId4"/>
    <sheet name="Lists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4" i="3"/>
  <c r="D5" i="3"/>
  <c r="D6" i="3"/>
  <c r="D7" i="3"/>
  <c r="D8" i="3"/>
  <c r="F8" i="3" s="1"/>
  <c r="D4" i="3"/>
  <c r="C5" i="3"/>
  <c r="C6" i="3"/>
  <c r="C7" i="3"/>
  <c r="C8" i="3"/>
  <c r="C4" i="3"/>
  <c r="B5" i="3"/>
  <c r="B6" i="3"/>
  <c r="B7" i="3"/>
  <c r="B8" i="3"/>
  <c r="B4" i="3"/>
  <c r="F4" i="3" s="1"/>
  <c r="B13" i="2"/>
  <c r="B14" i="2"/>
  <c r="B15" i="2"/>
  <c r="B16" i="2"/>
  <c r="B12" i="2"/>
  <c r="B22" i="2"/>
  <c r="B23" i="2"/>
  <c r="B21" i="2"/>
  <c r="E22" i="2"/>
  <c r="E23" i="2"/>
  <c r="E24" i="2"/>
  <c r="E21" i="2"/>
  <c r="B4" i="2"/>
  <c r="B7" i="2"/>
  <c r="B8" i="2"/>
  <c r="B6" i="2"/>
  <c r="B5" i="2"/>
  <c r="B3" i="2"/>
  <c r="A8" i="4" a="1"/>
  <c r="A8" i="4" s="1"/>
  <c r="G9" i="3"/>
  <c r="F7" i="3" l="1"/>
  <c r="F5" i="3"/>
  <c r="E9" i="3"/>
  <c r="D9" i="3"/>
  <c r="F6" i="3"/>
  <c r="C9" i="3"/>
  <c r="B9" i="3"/>
  <c r="C12" i="2"/>
  <c r="C14" i="2"/>
  <c r="C13" i="2"/>
  <c r="C15" i="2"/>
  <c r="C16" i="2"/>
  <c r="F9" i="3" l="1"/>
  <c r="G8" i="3" l="1"/>
  <c r="G7" i="3"/>
  <c r="G6" i="3"/>
  <c r="G5" i="3"/>
  <c r="G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<sst xmlns="http://schemas.openxmlformats.org/spreadsheetml/2006/main" count="991" uniqueCount="246">
  <si>
    <t>Validation_ID</t>
  </si>
  <si>
    <t>Migration_Batch</t>
  </si>
  <si>
    <t>Source_System</t>
  </si>
  <si>
    <t>Page_URL</t>
  </si>
  <si>
    <t>Error_Type</t>
  </si>
  <si>
    <t>Severity</t>
  </si>
  <si>
    <t>Component</t>
  </si>
  <si>
    <t>Owner</t>
  </si>
  <si>
    <t>Status</t>
  </si>
  <si>
    <t>Detected_On</t>
  </si>
  <si>
    <t>Notes</t>
  </si>
  <si>
    <t>VAL-0001</t>
  </si>
  <si>
    <t>Batch_02</t>
  </si>
  <si>
    <t>DAM</t>
  </si>
  <si>
    <t>https://example.com/gallery/page-001</t>
  </si>
  <si>
    <t>INVALID_LAYOUT</t>
  </si>
  <si>
    <t>High</t>
  </si>
  <si>
    <t>Gallery</t>
  </si>
  <si>
    <t>Frontend Team</t>
  </si>
  <si>
    <t>Resolved</t>
  </si>
  <si>
    <t>Page layout differs from the approved template.</t>
  </si>
  <si>
    <t>VAL-0002</t>
  </si>
  <si>
    <t>Batch_04</t>
  </si>
  <si>
    <t>Legacy_CMS</t>
  </si>
  <si>
    <t>https://example.com/article-page/page-002</t>
  </si>
  <si>
    <t>Critical</t>
  </si>
  <si>
    <t>Article Page</t>
  </si>
  <si>
    <t>Content Team</t>
  </si>
  <si>
    <t>Open</t>
  </si>
  <si>
    <t>VAL-0003</t>
  </si>
  <si>
    <t>https://example.com/downloads/page-003</t>
  </si>
  <si>
    <t>BROKEN_LINK</t>
  </si>
  <si>
    <t>Medium</t>
  </si>
  <si>
    <t>Downloads</t>
  </si>
  <si>
    <t>QA Team</t>
  </si>
  <si>
    <t>Link returns 404 or redirects to an old page.</t>
  </si>
  <si>
    <t>VAL-0004</t>
  </si>
  <si>
    <t>SharePoint</t>
  </si>
  <si>
    <t>https://example.com/product-page/page-004</t>
  </si>
  <si>
    <t>EMPTY_TITLE</t>
  </si>
  <si>
    <t>Product Page</t>
  </si>
  <si>
    <t>Migration Team</t>
  </si>
  <si>
    <t>In Progress</t>
  </si>
  <si>
    <t>Title field is empty or not migrated.</t>
  </si>
  <si>
    <t>VAL-0005</t>
  </si>
  <si>
    <t>https://example.com/article-page/page-005</t>
  </si>
  <si>
    <t>VAL-0006</t>
  </si>
  <si>
    <t>Batch_01</t>
  </si>
  <si>
    <t>Media_Library</t>
  </si>
  <si>
    <t>https://example.com/contact-page/page-006</t>
  </si>
  <si>
    <t>MISSING_IMAGE</t>
  </si>
  <si>
    <t>Contact Page</t>
  </si>
  <si>
    <t>Image asset is not available after migration.</t>
  </si>
  <si>
    <t>VAL-0007</t>
  </si>
  <si>
    <t>https://example.com/search/page-007</t>
  </si>
  <si>
    <t>Search</t>
  </si>
  <si>
    <t>VAL-0008</t>
  </si>
  <si>
    <t>https://example.com/downloads/page-008</t>
  </si>
  <si>
    <t>VAL-0009</t>
  </si>
  <si>
    <t>https://example.com/search/page-009</t>
  </si>
  <si>
    <t>VAL-0010</t>
  </si>
  <si>
    <t>https://example.com/product-page/page-010</t>
  </si>
  <si>
    <t>VAL-0011</t>
  </si>
  <si>
    <t>https://example.com/homepage/page-011</t>
  </si>
  <si>
    <t>MISSING_ATTACHMENT</t>
  </si>
  <si>
    <t>Homepage</t>
  </si>
  <si>
    <t>Attachment exists in source but not in target system.</t>
  </si>
  <si>
    <t>VAL-0012</t>
  </si>
  <si>
    <t>https://example.com/search/page-012</t>
  </si>
  <si>
    <t>Low</t>
  </si>
  <si>
    <t>VAL-0013</t>
  </si>
  <si>
    <t>https://example.com/gallery/page-013</t>
  </si>
  <si>
    <t>VAL-0014</t>
  </si>
  <si>
    <t>https://example.com/homepage/page-014</t>
  </si>
  <si>
    <t>VAL-0015</t>
  </si>
  <si>
    <t>Batch_03</t>
  </si>
  <si>
    <t>https://example.com/contact-page/page-015</t>
  </si>
  <si>
    <t>VAL-0016</t>
  </si>
  <si>
    <t>https://example.com/search/page-016</t>
  </si>
  <si>
    <t>VAL-0017</t>
  </si>
  <si>
    <t>https://example.com/gallery/page-017</t>
  </si>
  <si>
    <t>VAL-0018</t>
  </si>
  <si>
    <t>https://example.com/product-page/page-018</t>
  </si>
  <si>
    <t>VAL-0019</t>
  </si>
  <si>
    <t>https://example.com/gallery/page-019</t>
  </si>
  <si>
    <t>VAL-0020</t>
  </si>
  <si>
    <t>https://example.com/article-page/page-020</t>
  </si>
  <si>
    <t>VAL-0021</t>
  </si>
  <si>
    <t>https://example.com/landing-page/page-021</t>
  </si>
  <si>
    <t>Landing Page</t>
  </si>
  <si>
    <t>VAL-0022</t>
  </si>
  <si>
    <t>https://example.com/contact-page/page-022</t>
  </si>
  <si>
    <t>VAL-0023</t>
  </si>
  <si>
    <t>https://example.com/downloads/page-023</t>
  </si>
  <si>
    <t>VAL-0024</t>
  </si>
  <si>
    <t>https://example.com/article-page/page-024</t>
  </si>
  <si>
    <t>VAL-0025</t>
  </si>
  <si>
    <t>https://example.com/contact-page/page-025</t>
  </si>
  <si>
    <t>VAL-0026</t>
  </si>
  <si>
    <t>https://example.com/landing-page/page-026</t>
  </si>
  <si>
    <t>VAL-0027</t>
  </si>
  <si>
    <t>https://example.com/landing-page/page-027</t>
  </si>
  <si>
    <t>VAL-0028</t>
  </si>
  <si>
    <t>https://example.com/product-page/page-028</t>
  </si>
  <si>
    <t>VAL-0029</t>
  </si>
  <si>
    <t>https://example.com/article-page/page-029</t>
  </si>
  <si>
    <t>VAL-0030</t>
  </si>
  <si>
    <t>https://example.com/landing-page/page-030</t>
  </si>
  <si>
    <t>VAL-0031</t>
  </si>
  <si>
    <t>https://example.com/contact-page/page-031</t>
  </si>
  <si>
    <t>VAL-0032</t>
  </si>
  <si>
    <t>https://example.com/homepage/page-032</t>
  </si>
  <si>
    <t>VAL-0033</t>
  </si>
  <si>
    <t>https://example.com/product-page/page-033</t>
  </si>
  <si>
    <t>VAL-0034</t>
  </si>
  <si>
    <t>https://example.com/landing-page/page-034</t>
  </si>
  <si>
    <t>VAL-0035</t>
  </si>
  <si>
    <t>https://example.com/search/page-035</t>
  </si>
  <si>
    <t>VAL-0036</t>
  </si>
  <si>
    <t>https://example.com/gallery/page-036</t>
  </si>
  <si>
    <t>VAL-0037</t>
  </si>
  <si>
    <t>https://example.com/article-page/page-037</t>
  </si>
  <si>
    <t>VAL-0038</t>
  </si>
  <si>
    <t>https://example.com/search/page-038</t>
  </si>
  <si>
    <t>VAL-0039</t>
  </si>
  <si>
    <t>https://example.com/homepage/page-039</t>
  </si>
  <si>
    <t>VAL-0040</t>
  </si>
  <si>
    <t>https://example.com/product-page/page-040</t>
  </si>
  <si>
    <t>VAL-0041</t>
  </si>
  <si>
    <t>https://example.com/gallery/page-041</t>
  </si>
  <si>
    <t>VAL-0042</t>
  </si>
  <si>
    <t>https://example.com/homepage/page-042</t>
  </si>
  <si>
    <t>VAL-0043</t>
  </si>
  <si>
    <t>https://example.com/homepage/page-043</t>
  </si>
  <si>
    <t>VAL-0044</t>
  </si>
  <si>
    <t>https://example.com/product-page/page-044</t>
  </si>
  <si>
    <t>VAL-0045</t>
  </si>
  <si>
    <t>https://example.com/homepage/page-045</t>
  </si>
  <si>
    <t>VAL-0046</t>
  </si>
  <si>
    <t>https://example.com/landing-page/page-046</t>
  </si>
  <si>
    <t>VAL-0047</t>
  </si>
  <si>
    <t>https://example.com/search/page-047</t>
  </si>
  <si>
    <t>VAL-0048</t>
  </si>
  <si>
    <t>https://example.com/homepage/page-048</t>
  </si>
  <si>
    <t>VAL-0049</t>
  </si>
  <si>
    <t>https://example.com/downloads/page-049</t>
  </si>
  <si>
    <t>VAL-0050</t>
  </si>
  <si>
    <t>https://example.com/gallery/page-050</t>
  </si>
  <si>
    <t>VAL-0051</t>
  </si>
  <si>
    <t>https://example.com/gallery/page-051</t>
  </si>
  <si>
    <t>VAL-0052</t>
  </si>
  <si>
    <t>https://example.com/article-page/page-052</t>
  </si>
  <si>
    <t>VAL-0053</t>
  </si>
  <si>
    <t>https://example.com/downloads/page-053</t>
  </si>
  <si>
    <t>VAL-0054</t>
  </si>
  <si>
    <t>https://example.com/article-page/page-054</t>
  </si>
  <si>
    <t>VAL-0055</t>
  </si>
  <si>
    <t>https://example.com/downloads/page-055</t>
  </si>
  <si>
    <t>VAL-0056</t>
  </si>
  <si>
    <t>https://example.com/homepage/page-056</t>
  </si>
  <si>
    <t>VAL-0057</t>
  </si>
  <si>
    <t>https://example.com/contact-page/page-057</t>
  </si>
  <si>
    <t>VAL-0058</t>
  </si>
  <si>
    <t>https://example.com/product-page/page-058</t>
  </si>
  <si>
    <t>VAL-0059</t>
  </si>
  <si>
    <t>https://example.com/downloads/page-059</t>
  </si>
  <si>
    <t>VAL-0060</t>
  </si>
  <si>
    <t>https://example.com/contact-page/page-060</t>
  </si>
  <si>
    <t>VAL-0061</t>
  </si>
  <si>
    <t>https://example.com/homepage/page-061</t>
  </si>
  <si>
    <t>VAL-0062</t>
  </si>
  <si>
    <t>https://example.com/homepage/page-062</t>
  </si>
  <si>
    <t>VAL-0063</t>
  </si>
  <si>
    <t>https://example.com/search/page-063</t>
  </si>
  <si>
    <t>VAL-0064</t>
  </si>
  <si>
    <t>https://example.com/downloads/page-064</t>
  </si>
  <si>
    <t>VAL-0065</t>
  </si>
  <si>
    <t>https://example.com/gallery/page-065</t>
  </si>
  <si>
    <t>VAL-0066</t>
  </si>
  <si>
    <t>https://example.com/downloads/page-066</t>
  </si>
  <si>
    <t>VAL-0067</t>
  </si>
  <si>
    <t>https://example.com/landing-page/page-067</t>
  </si>
  <si>
    <t>VAL-0068</t>
  </si>
  <si>
    <t>https://example.com/landing-page/page-068</t>
  </si>
  <si>
    <t>VAL-0069</t>
  </si>
  <si>
    <t>https://example.com/search/page-069</t>
  </si>
  <si>
    <t>VAL-0070</t>
  </si>
  <si>
    <t>https://example.com/homepage/page-070</t>
  </si>
  <si>
    <t>VAL-0071</t>
  </si>
  <si>
    <t>https://example.com/downloads/page-071</t>
  </si>
  <si>
    <t>VAL-0072</t>
  </si>
  <si>
    <t>https://example.com/gallery/page-072</t>
  </si>
  <si>
    <t>VAL-0073</t>
  </si>
  <si>
    <t>https://example.com/downloads/page-073</t>
  </si>
  <si>
    <t>VAL-0074</t>
  </si>
  <si>
    <t>https://example.com/downloads/page-074</t>
  </si>
  <si>
    <t>VAL-0075</t>
  </si>
  <si>
    <t>https://example.com/search/page-075</t>
  </si>
  <si>
    <t>VAL-0076</t>
  </si>
  <si>
    <t>https://example.com/landing-page/page-076</t>
  </si>
  <si>
    <t>VAL-0077</t>
  </si>
  <si>
    <t>https://example.com/gallery/page-077</t>
  </si>
  <si>
    <t>VAL-0078</t>
  </si>
  <si>
    <t>https://example.com/search/page-078</t>
  </si>
  <si>
    <t>VAL-0079</t>
  </si>
  <si>
    <t>https://example.com/contact-page/page-079</t>
  </si>
  <si>
    <t>VAL-0080</t>
  </si>
  <si>
    <t>https://example.com/contact-page/page-080</t>
  </si>
  <si>
    <t>VAL-0081</t>
  </si>
  <si>
    <t>https://example.com/contact-page/page-081</t>
  </si>
  <si>
    <t>VAL-0082</t>
  </si>
  <si>
    <t>https://example.com/contact-page/page-082</t>
  </si>
  <si>
    <t>VAL-0083</t>
  </si>
  <si>
    <t>https://example.com/gallery/page-083</t>
  </si>
  <si>
    <t>VAL-0084</t>
  </si>
  <si>
    <t>https://example.com/downloads/page-084</t>
  </si>
  <si>
    <t>VAL-0085</t>
  </si>
  <si>
    <t>https://example.com/downloads/page-085</t>
  </si>
  <si>
    <t>VAL-0086</t>
  </si>
  <si>
    <t>https://example.com/search/page-086</t>
  </si>
  <si>
    <t>VAL-0087</t>
  </si>
  <si>
    <t>https://example.com/search/page-087</t>
  </si>
  <si>
    <t>VAL-0088</t>
  </si>
  <si>
    <t>https://example.com/gallery/page-088</t>
  </si>
  <si>
    <t>VAL-0089</t>
  </si>
  <si>
    <t>https://example.com/product-page/page-089</t>
  </si>
  <si>
    <t>VAL-0090</t>
  </si>
  <si>
    <t>https://example.com/contact-page/page-090</t>
  </si>
  <si>
    <t>Validation Report Analysis — Summary</t>
  </si>
  <si>
    <t>Total errors</t>
  </si>
  <si>
    <t>Open errors</t>
  </si>
  <si>
    <t>In progress</t>
  </si>
  <si>
    <t>Critical + High open</t>
  </si>
  <si>
    <t>Unique components</t>
  </si>
  <si>
    <t>Errors by type</t>
  </si>
  <si>
    <t>Count</t>
  </si>
  <si>
    <t>% of total</t>
  </si>
  <si>
    <t>Errors by status</t>
  </si>
  <si>
    <t>Errors by severity</t>
  </si>
  <si>
    <t>PivotTable — count of errors by type and severity</t>
  </si>
  <si>
    <t>Grand Total</t>
  </si>
  <si>
    <t>Filtered validation errors</t>
  </si>
  <si>
    <t>Error type</t>
  </si>
  <si>
    <t>All</t>
  </si>
  <si>
    <t>Use dropdowns in B3:B5 to filter by error type, status, and severity. The formula below uses Excel FILTER; table filters are also enabled on Report_Data.</t>
  </si>
  <si>
    <t xml:space="preserve">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</si>
</sst>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7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4"/>
      <name val="Carlito"/>
    </font>
    <font>
      <b/>
      <sz val="11"/>
      <color rgb="FF0F172A"/>
      <name val="Carlito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D9EAD3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8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164" fontId="0" fillId="0" borderId="0" xfId="1" applyNumberFormat="1" applyFont="1" applyAlignment="1">
      <alignment wrapText="1"/>
    </xf>
    <xf numFmtId="0" fontId="3" fillId="4" borderId="0" xfId="1" applyFont="1" applyFill="1" applyAlignment="1">
      <alignment wrapText="1"/>
    </xf>
    <xf numFmtId="0" fontId="4" fillId="5" borderId="0" xfId="1" applyFont="1" applyFill="1" applyAlignment="1">
      <alignment horizontal="center" wrapText="1"/>
    </xf>
    <xf numFmtId="165" fontId="0" fillId="0" borderId="0" xfId="1" applyNumberFormat="1" applyFont="1" applyAlignment="1">
      <alignment wrapText="1"/>
    </xf>
    <xf numFmtId="0" fontId="3" fillId="7" borderId="0" xfId="1" applyFont="1" applyFill="1" applyAlignment="1">
      <alignment wrapText="1"/>
    </xf>
    <xf numFmtId="165" fontId="3" fillId="7" borderId="0" xfId="1" applyNumberFormat="1" applyFont="1" applyFill="1" applyAlignment="1">
      <alignment wrapText="1"/>
    </xf>
    <xf numFmtId="0" fontId="2" fillId="3" borderId="0" xfId="1" applyFont="1" applyFill="1" applyAlignment="1">
      <alignment horizontal="left" vertical="center" wrapText="1"/>
    </xf>
    <xf numFmtId="0" fontId="5" fillId="6" borderId="0" xfId="1" applyFont="1" applyFill="1" applyAlignment="1">
      <alignment horizontal="center" wrapText="1"/>
    </xf>
    <xf numFmtId="0" fontId="2" fillId="3" borderId="0" xfId="1" applyFont="1" applyFill="1" applyAlignment="1">
      <alignment horizontal="left" vertical="center"/>
    </xf>
    <xf numFmtId="0" fontId="0" fillId="8" borderId="0" xfId="1" applyFont="1" applyFill="1" applyAlignment="1">
      <alignment vertical="top" wrapText="1"/>
    </xf>
    <xf numFmtId="0" fontId="0" fillId="9" borderId="0" xfId="1" applyFont="1" applyFill="1" applyAlignment="1">
      <alignment wrapText="1"/>
    </xf>
    <xf numFmtId="164" fontId="0" fillId="9" borderId="0" xfId="1" applyNumberFormat="1" applyFont="1" applyFill="1" applyAlignment="1">
      <alignment wrapText="1"/>
    </xf>
    <xf numFmtId="0" fontId="0" fillId="9" borderId="0" xfId="0" applyFill="1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35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7030A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ont>
        <b/>
        <color rgb="FFC00000"/>
      </font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Errors</a:t>
            </a:r>
            <a:r>
              <a:rPr lang="pl-PL" baseline="0"/>
              <a:t> by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Summary!$A$12:$A$16</c:f>
              <c:strCache>
                <c:ptCount val="5"/>
                <c:pt idx="0">
                  <c:v>BROKEN_LINK</c:v>
                </c:pt>
                <c:pt idx="1">
                  <c:v>MISSING_IMAGE</c:v>
                </c:pt>
                <c:pt idx="2">
                  <c:v>MISSING_ATTACHMENT</c:v>
                </c:pt>
                <c:pt idx="3">
                  <c:v>INVALID_LAYOUT</c:v>
                </c:pt>
                <c:pt idx="4">
                  <c:v>EMPTY_TITLE</c:v>
                </c:pt>
              </c:strCache>
            </c:strRef>
          </c:cat>
          <c:val>
            <c:numRef>
              <c:f>Summary!$B$12:$B$16</c:f>
              <c:numCache>
                <c:formatCode>General</c:formatCode>
                <c:ptCount val="5"/>
                <c:pt idx="0">
                  <c:v>19</c:v>
                </c:pt>
                <c:pt idx="1">
                  <c:v>20</c:v>
                </c:pt>
                <c:pt idx="2">
                  <c:v>15</c:v>
                </c:pt>
                <c:pt idx="3">
                  <c:v>14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6-4299-A78D-9D7619338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5135263"/>
        <c:axId val="1076665839"/>
      </c:barChart>
      <c:catAx>
        <c:axId val="975135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76665839"/>
        <c:crosses val="autoZero"/>
        <c:auto val="1"/>
        <c:lblAlgn val="ctr"/>
        <c:lblOffset val="100"/>
        <c:noMultiLvlLbl val="0"/>
      </c:catAx>
      <c:valAx>
        <c:axId val="107666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7513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Pivot: errors by type and severity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PivotTable!$A$4:$A$8</c:f>
              <c:strCache>
                <c:ptCount val="5"/>
                <c:pt idx="0">
                  <c:v>BROKEN_LINK</c:v>
                </c:pt>
                <c:pt idx="1">
                  <c:v>MISSING_IMAGE</c:v>
                </c:pt>
                <c:pt idx="2">
                  <c:v>MISSING_ATTACHMENT</c:v>
                </c:pt>
                <c:pt idx="3">
                  <c:v>INVALID_LAYOUT</c:v>
                </c:pt>
                <c:pt idx="4">
                  <c:v>EMPTY_TITLE</c:v>
                </c:pt>
              </c:strCache>
            </c:strRef>
          </c:cat>
          <c:val>
            <c:numRef>
              <c:f>PivotTable!$B$4:$B$8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E4-4D81-8A51-89295579C059}"/>
            </c:ext>
          </c:extLst>
        </c:ser>
        <c:ser>
          <c:idx val="1"/>
          <c:order val="1"/>
          <c:tx>
            <c:strRef>
              <c:f>PivotTable!$C$3</c:f>
              <c:strCache>
                <c:ptCount val="1"/>
                <c:pt idx="0">
                  <c:v>High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PivotTable!$A$4:$A$8</c:f>
              <c:strCache>
                <c:ptCount val="5"/>
                <c:pt idx="0">
                  <c:v>BROKEN_LINK</c:v>
                </c:pt>
                <c:pt idx="1">
                  <c:v>MISSING_IMAGE</c:v>
                </c:pt>
                <c:pt idx="2">
                  <c:v>MISSING_ATTACHMENT</c:v>
                </c:pt>
                <c:pt idx="3">
                  <c:v>INVALID_LAYOUT</c:v>
                </c:pt>
                <c:pt idx="4">
                  <c:v>EMPTY_TITLE</c:v>
                </c:pt>
              </c:strCache>
            </c:strRef>
          </c:cat>
          <c:val>
            <c:numRef>
              <c:f>PivotTable!$C$4:$C$8</c:f>
              <c:numCache>
                <c:formatCode>General</c:formatCode>
                <c:ptCount val="5"/>
                <c:pt idx="0">
                  <c:v>7</c:v>
                </c:pt>
                <c:pt idx="1">
                  <c:v>4</c:v>
                </c:pt>
                <c:pt idx="2">
                  <c:v>7</c:v>
                </c:pt>
                <c:pt idx="3">
                  <c:v>6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E4-4D81-8A51-89295579C059}"/>
            </c:ext>
          </c:extLst>
        </c:ser>
        <c:ser>
          <c:idx val="2"/>
          <c:order val="2"/>
          <c:tx>
            <c:strRef>
              <c:f>PivotTable!$D$3</c:f>
              <c:strCache>
                <c:ptCount val="1"/>
                <c:pt idx="0">
                  <c:v>Medium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PivotTable!$A$4:$A$8</c:f>
              <c:strCache>
                <c:ptCount val="5"/>
                <c:pt idx="0">
                  <c:v>BROKEN_LINK</c:v>
                </c:pt>
                <c:pt idx="1">
                  <c:v>MISSING_IMAGE</c:v>
                </c:pt>
                <c:pt idx="2">
                  <c:v>MISSING_ATTACHMENT</c:v>
                </c:pt>
                <c:pt idx="3">
                  <c:v>INVALID_LAYOUT</c:v>
                </c:pt>
                <c:pt idx="4">
                  <c:v>EMPTY_TITLE</c:v>
                </c:pt>
              </c:strCache>
            </c:strRef>
          </c:cat>
          <c:val>
            <c:numRef>
              <c:f>PivotTable!$D$4:$D$8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E4-4D81-8A51-89295579C059}"/>
            </c:ext>
          </c:extLst>
        </c:ser>
        <c:ser>
          <c:idx val="3"/>
          <c:order val="3"/>
          <c:tx>
            <c:strRef>
              <c:f>PivotTable!$E$3</c:f>
              <c:strCache>
                <c:ptCount val="1"/>
                <c:pt idx="0">
                  <c:v>Low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PivotTable!$A$4:$A$8</c:f>
              <c:strCache>
                <c:ptCount val="5"/>
                <c:pt idx="0">
                  <c:v>BROKEN_LINK</c:v>
                </c:pt>
                <c:pt idx="1">
                  <c:v>MISSING_IMAGE</c:v>
                </c:pt>
                <c:pt idx="2">
                  <c:v>MISSING_ATTACHMENT</c:v>
                </c:pt>
                <c:pt idx="3">
                  <c:v>INVALID_LAYOUT</c:v>
                </c:pt>
                <c:pt idx="4">
                  <c:v>EMPTY_TITLE</c:v>
                </c:pt>
              </c:strCache>
            </c:strRef>
          </c:cat>
          <c:val>
            <c:numRef>
              <c:f>PivotTable!$E$4:$E$8</c:f>
              <c:numCache>
                <c:formatCode>General</c:formatCode>
                <c:ptCount val="5"/>
                <c:pt idx="0">
                  <c:v>4</c:v>
                </c:pt>
                <c:pt idx="1">
                  <c:v>10</c:v>
                </c:pt>
                <c:pt idx="2">
                  <c:v>0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E4-4D81-8A51-89295579C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1541935"/>
        <c:axId val="1076625519"/>
      </c:barChart>
      <c:catAx>
        <c:axId val="1141541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76625519"/>
        <c:crosses val="autoZero"/>
        <c:auto val="1"/>
        <c:lblAlgn val="ctr"/>
        <c:lblOffset val="100"/>
        <c:noMultiLvlLbl val="0"/>
      </c:catAx>
      <c:valAx>
        <c:axId val="107662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41541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2</xdr:row>
      <xdr:rowOff>15240</xdr:rowOff>
    </xdr:from>
    <xdr:to>
      <xdr:col>7</xdr:col>
      <xdr:colOff>906780</xdr:colOff>
      <xdr:row>17</xdr:row>
      <xdr:rowOff>15240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0D10E87E-8013-5FC0-A3E9-3AB6336785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1344930</xdr:colOff>
      <xdr:row>9</xdr:row>
      <xdr:rowOff>167640</xdr:rowOff>
    </xdr:from>
    <xdr:to>
      <xdr:col>6</xdr:col>
      <xdr:colOff>335280</xdr:colOff>
      <xdr:row>28</xdr:row>
      <xdr:rowOff>53340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941B286-1D6F-1F15-839F-E52D13E07C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alidationErrors" displayName="ValidationErrors" ref="A1:K91">
  <tableColumns count="11">
    <tableColumn id="1" xr3:uid="{00000000-0010-0000-0000-000001000000}" name="                                                                                    "/>
    <tableColumn id="2" xr3:uid="{00000000-0010-0000-0000-000002000000}" name="Migration_Batch"/>
    <tableColumn id="3" xr3:uid="{00000000-0010-0000-0000-000003000000}" name="Source_System"/>
    <tableColumn id="4" xr3:uid="{00000000-0010-0000-0000-000004000000}" name="Page_URL"/>
    <tableColumn id="5" xr3:uid="{00000000-0010-0000-0000-000005000000}" name="Error_Type"/>
    <tableColumn id="6" xr3:uid="{00000000-0010-0000-0000-000006000000}" name="Severity"/>
    <tableColumn id="7" xr3:uid="{00000000-0010-0000-0000-000007000000}" name="Component"/>
    <tableColumn id="8" xr3:uid="{00000000-0010-0000-0000-000008000000}" name="Owner"/>
    <tableColumn id="9" xr3:uid="{00000000-0010-0000-0000-000009000000}" name="Status"/>
    <tableColumn id="10" xr3:uid="{00000000-0010-0000-0000-00000A000000}" name="Detected_On"/>
    <tableColumn id="11" xr3:uid="{00000000-0010-0000-0000-00000B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workbookViewId="0"/>
  </sheetViews>
  <sheetFormatPr defaultRowHeight="13.8"/>
  <cols>
    <col min="1" max="3" width="16" customWidth="1"/>
    <col min="4" max="4" width="42" customWidth="1"/>
    <col min="5" max="5" width="22" customWidth="1"/>
    <col min="6" max="6" width="12" customWidth="1"/>
    <col min="7" max="8" width="18" customWidth="1"/>
    <col min="9" max="10" width="14" customWidth="1"/>
    <col min="11" max="11" width="40" customWidth="1"/>
  </cols>
  <sheetData>
    <row r="1" spans="1:11" ht="25.65" customHeight="1">
      <c r="A1" s="1" t="s">
        <v>245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5" customFormat="1">
      <c r="A2" s="13" t="s">
        <v>11</v>
      </c>
      <c r="B2" s="13" t="s">
        <v>12</v>
      </c>
      <c r="C2" s="13" t="s">
        <v>13</v>
      </c>
      <c r="D2" s="13" t="s">
        <v>14</v>
      </c>
      <c r="E2" s="13" t="s">
        <v>15</v>
      </c>
      <c r="F2" s="13" t="s">
        <v>16</v>
      </c>
      <c r="G2" s="13" t="s">
        <v>17</v>
      </c>
      <c r="H2" s="13" t="s">
        <v>18</v>
      </c>
      <c r="I2" s="13" t="s">
        <v>19</v>
      </c>
      <c r="J2" s="14">
        <v>46177</v>
      </c>
      <c r="K2" s="13" t="s">
        <v>20</v>
      </c>
    </row>
    <row r="3" spans="1:11" s="15" customFormat="1">
      <c r="A3" s="13" t="s">
        <v>21</v>
      </c>
      <c r="B3" s="13" t="s">
        <v>22</v>
      </c>
      <c r="C3" s="13" t="s">
        <v>23</v>
      </c>
      <c r="D3" s="13" t="s">
        <v>24</v>
      </c>
      <c r="E3" s="13" t="s">
        <v>15</v>
      </c>
      <c r="F3" s="13" t="s">
        <v>25</v>
      </c>
      <c r="G3" s="13" t="s">
        <v>26</v>
      </c>
      <c r="H3" s="13" t="s">
        <v>27</v>
      </c>
      <c r="I3" s="13" t="s">
        <v>28</v>
      </c>
      <c r="J3" s="14">
        <v>46180</v>
      </c>
      <c r="K3" s="13" t="s">
        <v>20</v>
      </c>
    </row>
    <row r="4" spans="1:11" s="15" customFormat="1">
      <c r="A4" s="13" t="s">
        <v>29</v>
      </c>
      <c r="B4" s="13" t="s">
        <v>22</v>
      </c>
      <c r="C4" s="13" t="s">
        <v>13</v>
      </c>
      <c r="D4" s="13" t="s">
        <v>30</v>
      </c>
      <c r="E4" s="13" t="s">
        <v>31</v>
      </c>
      <c r="F4" s="13" t="s">
        <v>32</v>
      </c>
      <c r="G4" s="13" t="s">
        <v>33</v>
      </c>
      <c r="H4" s="13" t="s">
        <v>34</v>
      </c>
      <c r="I4" s="13" t="s">
        <v>28</v>
      </c>
      <c r="J4" s="14">
        <v>46182</v>
      </c>
      <c r="K4" s="13" t="s">
        <v>35</v>
      </c>
    </row>
    <row r="5" spans="1:11">
      <c r="A5" s="2" t="s">
        <v>36</v>
      </c>
      <c r="B5" s="2" t="s">
        <v>22</v>
      </c>
      <c r="C5" s="2" t="s">
        <v>37</v>
      </c>
      <c r="D5" s="2" t="s">
        <v>38</v>
      </c>
      <c r="E5" s="2" t="s">
        <v>39</v>
      </c>
      <c r="F5" s="2" t="s">
        <v>32</v>
      </c>
      <c r="G5" s="2" t="s">
        <v>40</v>
      </c>
      <c r="H5" s="2" t="s">
        <v>41</v>
      </c>
      <c r="I5" s="2" t="s">
        <v>42</v>
      </c>
      <c r="J5" s="3">
        <v>46180</v>
      </c>
      <c r="K5" s="2" t="s">
        <v>43</v>
      </c>
    </row>
    <row r="6" spans="1:11">
      <c r="A6" s="2" t="s">
        <v>44</v>
      </c>
      <c r="B6" s="2" t="s">
        <v>22</v>
      </c>
      <c r="C6" s="2" t="s">
        <v>23</v>
      </c>
      <c r="D6" s="2" t="s">
        <v>45</v>
      </c>
      <c r="E6" s="2" t="s">
        <v>39</v>
      </c>
      <c r="F6" s="2" t="s">
        <v>32</v>
      </c>
      <c r="G6" s="2" t="s">
        <v>26</v>
      </c>
      <c r="H6" s="2" t="s">
        <v>41</v>
      </c>
      <c r="I6" s="2" t="s">
        <v>19</v>
      </c>
      <c r="J6" s="3">
        <v>46193</v>
      </c>
      <c r="K6" s="2" t="s">
        <v>43</v>
      </c>
    </row>
    <row r="7" spans="1:11">
      <c r="A7" s="2" t="s">
        <v>46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32</v>
      </c>
      <c r="G7" s="2" t="s">
        <v>51</v>
      </c>
      <c r="H7" s="2" t="s">
        <v>27</v>
      </c>
      <c r="I7" s="2" t="s">
        <v>28</v>
      </c>
      <c r="J7" s="3">
        <v>46183</v>
      </c>
      <c r="K7" s="2" t="s">
        <v>52</v>
      </c>
    </row>
    <row r="8" spans="1:11">
      <c r="A8" s="2" t="s">
        <v>53</v>
      </c>
      <c r="B8" s="2" t="s">
        <v>12</v>
      </c>
      <c r="C8" s="2" t="s">
        <v>23</v>
      </c>
      <c r="D8" s="2" t="s">
        <v>54</v>
      </c>
      <c r="E8" s="2" t="s">
        <v>39</v>
      </c>
      <c r="F8" s="2" t="s">
        <v>32</v>
      </c>
      <c r="G8" s="2" t="s">
        <v>55</v>
      </c>
      <c r="H8" s="2" t="s">
        <v>27</v>
      </c>
      <c r="I8" s="2" t="s">
        <v>19</v>
      </c>
      <c r="J8" s="3">
        <v>46181</v>
      </c>
      <c r="K8" s="2" t="s">
        <v>43</v>
      </c>
    </row>
    <row r="9" spans="1:11">
      <c r="A9" s="2" t="s">
        <v>56</v>
      </c>
      <c r="B9" s="2" t="s">
        <v>47</v>
      </c>
      <c r="C9" s="2" t="s">
        <v>48</v>
      </c>
      <c r="D9" s="2" t="s">
        <v>57</v>
      </c>
      <c r="E9" s="2" t="s">
        <v>15</v>
      </c>
      <c r="F9" s="2" t="s">
        <v>25</v>
      </c>
      <c r="G9" s="2" t="s">
        <v>33</v>
      </c>
      <c r="H9" s="2" t="s">
        <v>41</v>
      </c>
      <c r="I9" s="2" t="s">
        <v>28</v>
      </c>
      <c r="J9" s="3">
        <v>46194</v>
      </c>
      <c r="K9" s="2" t="s">
        <v>20</v>
      </c>
    </row>
    <row r="10" spans="1:11">
      <c r="A10" s="2" t="s">
        <v>58</v>
      </c>
      <c r="B10" s="2" t="s">
        <v>12</v>
      </c>
      <c r="C10" s="2" t="s">
        <v>37</v>
      </c>
      <c r="D10" s="2" t="s">
        <v>59</v>
      </c>
      <c r="E10" s="2" t="s">
        <v>39</v>
      </c>
      <c r="F10" s="2" t="s">
        <v>32</v>
      </c>
      <c r="G10" s="2" t="s">
        <v>55</v>
      </c>
      <c r="H10" s="2" t="s">
        <v>27</v>
      </c>
      <c r="I10" s="2" t="s">
        <v>28</v>
      </c>
      <c r="J10" s="3">
        <v>46194</v>
      </c>
      <c r="K10" s="2" t="s">
        <v>43</v>
      </c>
    </row>
    <row r="11" spans="1:11">
      <c r="A11" s="2" t="s">
        <v>60</v>
      </c>
      <c r="B11" s="2" t="s">
        <v>22</v>
      </c>
      <c r="C11" s="2" t="s">
        <v>48</v>
      </c>
      <c r="D11" s="2" t="s">
        <v>61</v>
      </c>
      <c r="E11" s="2" t="s">
        <v>31</v>
      </c>
      <c r="F11" s="2" t="s">
        <v>32</v>
      </c>
      <c r="G11" s="2" t="s">
        <v>40</v>
      </c>
      <c r="H11" s="2" t="s">
        <v>41</v>
      </c>
      <c r="I11" s="2" t="s">
        <v>19</v>
      </c>
      <c r="J11" s="3">
        <v>46196</v>
      </c>
      <c r="K11" s="2" t="s">
        <v>35</v>
      </c>
    </row>
    <row r="12" spans="1:11" ht="27.6">
      <c r="A12" s="2" t="s">
        <v>62</v>
      </c>
      <c r="B12" s="2" t="s">
        <v>12</v>
      </c>
      <c r="C12" s="2" t="s">
        <v>23</v>
      </c>
      <c r="D12" s="2" t="s">
        <v>63</v>
      </c>
      <c r="E12" s="2" t="s">
        <v>64</v>
      </c>
      <c r="F12" s="2" t="s">
        <v>25</v>
      </c>
      <c r="G12" s="2" t="s">
        <v>65</v>
      </c>
      <c r="H12" s="2" t="s">
        <v>41</v>
      </c>
      <c r="I12" s="2" t="s">
        <v>28</v>
      </c>
      <c r="J12" s="3">
        <v>46182</v>
      </c>
      <c r="K12" s="2" t="s">
        <v>66</v>
      </c>
    </row>
    <row r="13" spans="1:11" s="15" customFormat="1">
      <c r="A13" s="13" t="s">
        <v>67</v>
      </c>
      <c r="B13" s="13" t="s">
        <v>12</v>
      </c>
      <c r="C13" s="13" t="s">
        <v>48</v>
      </c>
      <c r="D13" s="13" t="s">
        <v>68</v>
      </c>
      <c r="E13" s="13" t="s">
        <v>31</v>
      </c>
      <c r="F13" s="13" t="s">
        <v>69</v>
      </c>
      <c r="G13" s="13" t="s">
        <v>55</v>
      </c>
      <c r="H13" s="13" t="s">
        <v>34</v>
      </c>
      <c r="I13" s="13" t="s">
        <v>19</v>
      </c>
      <c r="J13" s="14">
        <v>46188</v>
      </c>
      <c r="K13" s="13" t="s">
        <v>35</v>
      </c>
    </row>
    <row r="14" spans="1:11">
      <c r="A14" s="2" t="s">
        <v>70</v>
      </c>
      <c r="B14" s="2" t="s">
        <v>22</v>
      </c>
      <c r="C14" s="2" t="s">
        <v>48</v>
      </c>
      <c r="D14" s="2" t="s">
        <v>71</v>
      </c>
      <c r="E14" s="2" t="s">
        <v>31</v>
      </c>
      <c r="F14" s="2" t="s">
        <v>16</v>
      </c>
      <c r="G14" s="2" t="s">
        <v>17</v>
      </c>
      <c r="H14" s="2" t="s">
        <v>41</v>
      </c>
      <c r="I14" s="2" t="s">
        <v>42</v>
      </c>
      <c r="J14" s="3">
        <v>46178</v>
      </c>
      <c r="K14" s="2" t="s">
        <v>35</v>
      </c>
    </row>
    <row r="15" spans="1:11" ht="27.6">
      <c r="A15" s="2" t="s">
        <v>72</v>
      </c>
      <c r="B15" s="2" t="s">
        <v>47</v>
      </c>
      <c r="C15" s="2" t="s">
        <v>13</v>
      </c>
      <c r="D15" s="2" t="s">
        <v>73</v>
      </c>
      <c r="E15" s="2" t="s">
        <v>64</v>
      </c>
      <c r="F15" s="2" t="s">
        <v>16</v>
      </c>
      <c r="G15" s="2" t="s">
        <v>65</v>
      </c>
      <c r="H15" s="2" t="s">
        <v>18</v>
      </c>
      <c r="I15" s="2" t="s">
        <v>19</v>
      </c>
      <c r="J15" s="3">
        <v>46187</v>
      </c>
      <c r="K15" s="2" t="s">
        <v>66</v>
      </c>
    </row>
    <row r="16" spans="1:11" ht="27.6">
      <c r="A16" s="2" t="s">
        <v>74</v>
      </c>
      <c r="B16" s="2" t="s">
        <v>75</v>
      </c>
      <c r="C16" s="2" t="s">
        <v>23</v>
      </c>
      <c r="D16" s="2" t="s">
        <v>76</v>
      </c>
      <c r="E16" s="2" t="s">
        <v>64</v>
      </c>
      <c r="F16" s="2" t="s">
        <v>16</v>
      </c>
      <c r="G16" s="2" t="s">
        <v>51</v>
      </c>
      <c r="H16" s="2" t="s">
        <v>27</v>
      </c>
      <c r="I16" s="2" t="s">
        <v>19</v>
      </c>
      <c r="J16" s="3">
        <v>46191</v>
      </c>
      <c r="K16" s="2" t="s">
        <v>66</v>
      </c>
    </row>
    <row r="17" spans="1:11">
      <c r="A17" s="2" t="s">
        <v>77</v>
      </c>
      <c r="B17" s="2" t="s">
        <v>47</v>
      </c>
      <c r="C17" s="2" t="s">
        <v>37</v>
      </c>
      <c r="D17" s="2" t="s">
        <v>78</v>
      </c>
      <c r="E17" s="2" t="s">
        <v>15</v>
      </c>
      <c r="F17" s="2" t="s">
        <v>32</v>
      </c>
      <c r="G17" s="2" t="s">
        <v>55</v>
      </c>
      <c r="H17" s="2" t="s">
        <v>34</v>
      </c>
      <c r="I17" s="2" t="s">
        <v>42</v>
      </c>
      <c r="J17" s="3">
        <v>46188</v>
      </c>
      <c r="K17" s="2" t="s">
        <v>20</v>
      </c>
    </row>
    <row r="18" spans="1:11">
      <c r="A18" s="2" t="s">
        <v>79</v>
      </c>
      <c r="B18" s="2" t="s">
        <v>12</v>
      </c>
      <c r="C18" s="2" t="s">
        <v>23</v>
      </c>
      <c r="D18" s="2" t="s">
        <v>80</v>
      </c>
      <c r="E18" s="2" t="s">
        <v>31</v>
      </c>
      <c r="F18" s="2" t="s">
        <v>32</v>
      </c>
      <c r="G18" s="2" t="s">
        <v>17</v>
      </c>
      <c r="H18" s="2" t="s">
        <v>41</v>
      </c>
      <c r="I18" s="2" t="s">
        <v>19</v>
      </c>
      <c r="J18" s="3">
        <v>46190</v>
      </c>
      <c r="K18" s="2" t="s">
        <v>35</v>
      </c>
    </row>
    <row r="19" spans="1:11" ht="27.6">
      <c r="A19" s="2" t="s">
        <v>81</v>
      </c>
      <c r="B19" s="2" t="s">
        <v>47</v>
      </c>
      <c r="C19" s="2" t="s">
        <v>37</v>
      </c>
      <c r="D19" s="2" t="s">
        <v>82</v>
      </c>
      <c r="E19" s="2" t="s">
        <v>64</v>
      </c>
      <c r="F19" s="2" t="s">
        <v>16</v>
      </c>
      <c r="G19" s="2" t="s">
        <v>40</v>
      </c>
      <c r="H19" s="2" t="s">
        <v>34</v>
      </c>
      <c r="I19" s="2" t="s">
        <v>28</v>
      </c>
      <c r="J19" s="3">
        <v>46177</v>
      </c>
      <c r="K19" s="2" t="s">
        <v>66</v>
      </c>
    </row>
    <row r="20" spans="1:11">
      <c r="A20" s="2" t="s">
        <v>83</v>
      </c>
      <c r="B20" s="2" t="s">
        <v>12</v>
      </c>
      <c r="C20" s="2" t="s">
        <v>23</v>
      </c>
      <c r="D20" s="2" t="s">
        <v>84</v>
      </c>
      <c r="E20" s="2" t="s">
        <v>39</v>
      </c>
      <c r="F20" s="2" t="s">
        <v>69</v>
      </c>
      <c r="G20" s="2" t="s">
        <v>17</v>
      </c>
      <c r="H20" s="2" t="s">
        <v>18</v>
      </c>
      <c r="I20" s="2" t="s">
        <v>28</v>
      </c>
      <c r="J20" s="3">
        <v>46176</v>
      </c>
      <c r="K20" s="2" t="s">
        <v>43</v>
      </c>
    </row>
    <row r="21" spans="1:11">
      <c r="A21" s="2" t="s">
        <v>85</v>
      </c>
      <c r="B21" s="2" t="s">
        <v>12</v>
      </c>
      <c r="C21" s="2" t="s">
        <v>13</v>
      </c>
      <c r="D21" s="2" t="s">
        <v>86</v>
      </c>
      <c r="E21" s="2" t="s">
        <v>31</v>
      </c>
      <c r="F21" s="2" t="s">
        <v>16</v>
      </c>
      <c r="G21" s="2" t="s">
        <v>26</v>
      </c>
      <c r="H21" s="2" t="s">
        <v>34</v>
      </c>
      <c r="I21" s="2" t="s">
        <v>28</v>
      </c>
      <c r="J21" s="3">
        <v>46179</v>
      </c>
      <c r="K21" s="2" t="s">
        <v>35</v>
      </c>
    </row>
    <row r="22" spans="1:11">
      <c r="A22" s="2" t="s">
        <v>87</v>
      </c>
      <c r="B22" s="2" t="s">
        <v>12</v>
      </c>
      <c r="C22" s="2" t="s">
        <v>13</v>
      </c>
      <c r="D22" s="2" t="s">
        <v>88</v>
      </c>
      <c r="E22" s="2" t="s">
        <v>50</v>
      </c>
      <c r="F22" s="2" t="s">
        <v>16</v>
      </c>
      <c r="G22" s="2" t="s">
        <v>89</v>
      </c>
      <c r="H22" s="2" t="s">
        <v>41</v>
      </c>
      <c r="I22" s="2" t="s">
        <v>28</v>
      </c>
      <c r="J22" s="3">
        <v>46195</v>
      </c>
      <c r="K22" s="2" t="s">
        <v>52</v>
      </c>
    </row>
    <row r="23" spans="1:11">
      <c r="A23" s="2" t="s">
        <v>90</v>
      </c>
      <c r="B23" s="2" t="s">
        <v>47</v>
      </c>
      <c r="C23" s="2" t="s">
        <v>13</v>
      </c>
      <c r="D23" s="2" t="s">
        <v>91</v>
      </c>
      <c r="E23" s="2" t="s">
        <v>15</v>
      </c>
      <c r="F23" s="2" t="s">
        <v>16</v>
      </c>
      <c r="G23" s="2" t="s">
        <v>51</v>
      </c>
      <c r="H23" s="2" t="s">
        <v>18</v>
      </c>
      <c r="I23" s="2" t="s">
        <v>28</v>
      </c>
      <c r="J23" s="3">
        <v>46184</v>
      </c>
      <c r="K23" s="2" t="s">
        <v>20</v>
      </c>
    </row>
    <row r="24" spans="1:11">
      <c r="A24" s="2" t="s">
        <v>92</v>
      </c>
      <c r="B24" s="2" t="s">
        <v>47</v>
      </c>
      <c r="C24" s="2" t="s">
        <v>23</v>
      </c>
      <c r="D24" s="2" t="s">
        <v>93</v>
      </c>
      <c r="E24" s="2" t="s">
        <v>31</v>
      </c>
      <c r="F24" s="2" t="s">
        <v>32</v>
      </c>
      <c r="G24" s="2" t="s">
        <v>33</v>
      </c>
      <c r="H24" s="2" t="s">
        <v>27</v>
      </c>
      <c r="I24" s="2" t="s">
        <v>42</v>
      </c>
      <c r="J24" s="3">
        <v>46176</v>
      </c>
      <c r="K24" s="2" t="s">
        <v>35</v>
      </c>
    </row>
    <row r="25" spans="1:11">
      <c r="A25" s="2" t="s">
        <v>94</v>
      </c>
      <c r="B25" s="2" t="s">
        <v>12</v>
      </c>
      <c r="C25" s="2" t="s">
        <v>37</v>
      </c>
      <c r="D25" s="2" t="s">
        <v>95</v>
      </c>
      <c r="E25" s="2" t="s">
        <v>39</v>
      </c>
      <c r="F25" s="2" t="s">
        <v>69</v>
      </c>
      <c r="G25" s="2" t="s">
        <v>26</v>
      </c>
      <c r="H25" s="2" t="s">
        <v>34</v>
      </c>
      <c r="I25" s="2" t="s">
        <v>42</v>
      </c>
      <c r="J25" s="3">
        <v>46191</v>
      </c>
      <c r="K25" s="2" t="s">
        <v>43</v>
      </c>
    </row>
    <row r="26" spans="1:11">
      <c r="A26" s="2" t="s">
        <v>96</v>
      </c>
      <c r="B26" s="2" t="s">
        <v>12</v>
      </c>
      <c r="C26" s="2" t="s">
        <v>48</v>
      </c>
      <c r="D26" s="2" t="s">
        <v>97</v>
      </c>
      <c r="E26" s="2" t="s">
        <v>31</v>
      </c>
      <c r="F26" s="2" t="s">
        <v>69</v>
      </c>
      <c r="G26" s="2" t="s">
        <v>51</v>
      </c>
      <c r="H26" s="2" t="s">
        <v>34</v>
      </c>
      <c r="I26" s="2" t="s">
        <v>42</v>
      </c>
      <c r="J26" s="3">
        <v>46177</v>
      </c>
      <c r="K26" s="2" t="s">
        <v>35</v>
      </c>
    </row>
    <row r="27" spans="1:11">
      <c r="A27" s="2" t="s">
        <v>98</v>
      </c>
      <c r="B27" s="2" t="s">
        <v>22</v>
      </c>
      <c r="C27" s="2" t="s">
        <v>48</v>
      </c>
      <c r="D27" s="2" t="s">
        <v>99</v>
      </c>
      <c r="E27" s="2" t="s">
        <v>31</v>
      </c>
      <c r="F27" s="2" t="s">
        <v>16</v>
      </c>
      <c r="G27" s="2" t="s">
        <v>89</v>
      </c>
      <c r="H27" s="2" t="s">
        <v>27</v>
      </c>
      <c r="I27" s="2" t="s">
        <v>19</v>
      </c>
      <c r="J27" s="3">
        <v>46194</v>
      </c>
      <c r="K27" s="2" t="s">
        <v>35</v>
      </c>
    </row>
    <row r="28" spans="1:11">
      <c r="A28" s="2" t="s">
        <v>100</v>
      </c>
      <c r="B28" s="2" t="s">
        <v>75</v>
      </c>
      <c r="C28" s="2" t="s">
        <v>23</v>
      </c>
      <c r="D28" s="2" t="s">
        <v>101</v>
      </c>
      <c r="E28" s="2" t="s">
        <v>39</v>
      </c>
      <c r="F28" s="2" t="s">
        <v>32</v>
      </c>
      <c r="G28" s="2" t="s">
        <v>89</v>
      </c>
      <c r="H28" s="2" t="s">
        <v>18</v>
      </c>
      <c r="I28" s="2" t="s">
        <v>42</v>
      </c>
      <c r="J28" s="3">
        <v>46180</v>
      </c>
      <c r="K28" s="2" t="s">
        <v>43</v>
      </c>
    </row>
    <row r="29" spans="1:11" ht="27.6">
      <c r="A29" s="2" t="s">
        <v>102</v>
      </c>
      <c r="B29" s="2" t="s">
        <v>75</v>
      </c>
      <c r="C29" s="2" t="s">
        <v>48</v>
      </c>
      <c r="D29" s="2" t="s">
        <v>103</v>
      </c>
      <c r="E29" s="2" t="s">
        <v>64</v>
      </c>
      <c r="F29" s="2" t="s">
        <v>16</v>
      </c>
      <c r="G29" s="2" t="s">
        <v>40</v>
      </c>
      <c r="H29" s="2" t="s">
        <v>18</v>
      </c>
      <c r="I29" s="2" t="s">
        <v>28</v>
      </c>
      <c r="J29" s="3">
        <v>46188</v>
      </c>
      <c r="K29" s="2" t="s">
        <v>66</v>
      </c>
    </row>
    <row r="30" spans="1:11">
      <c r="A30" s="2" t="s">
        <v>104</v>
      </c>
      <c r="B30" s="2" t="s">
        <v>47</v>
      </c>
      <c r="C30" s="2" t="s">
        <v>23</v>
      </c>
      <c r="D30" s="2" t="s">
        <v>105</v>
      </c>
      <c r="E30" s="2" t="s">
        <v>39</v>
      </c>
      <c r="F30" s="2" t="s">
        <v>69</v>
      </c>
      <c r="G30" s="2" t="s">
        <v>26</v>
      </c>
      <c r="H30" s="2" t="s">
        <v>27</v>
      </c>
      <c r="I30" s="2" t="s">
        <v>42</v>
      </c>
      <c r="J30" s="3">
        <v>46179</v>
      </c>
      <c r="K30" s="2" t="s">
        <v>43</v>
      </c>
    </row>
    <row r="31" spans="1:11">
      <c r="A31" s="2" t="s">
        <v>106</v>
      </c>
      <c r="B31" s="2" t="s">
        <v>47</v>
      </c>
      <c r="C31" s="2" t="s">
        <v>13</v>
      </c>
      <c r="D31" s="2" t="s">
        <v>107</v>
      </c>
      <c r="E31" s="2" t="s">
        <v>50</v>
      </c>
      <c r="F31" s="2" t="s">
        <v>32</v>
      </c>
      <c r="G31" s="2" t="s">
        <v>89</v>
      </c>
      <c r="H31" s="2" t="s">
        <v>34</v>
      </c>
      <c r="I31" s="2" t="s">
        <v>28</v>
      </c>
      <c r="J31" s="3">
        <v>46186</v>
      </c>
      <c r="K31" s="2" t="s">
        <v>52</v>
      </c>
    </row>
    <row r="32" spans="1:11">
      <c r="A32" s="2" t="s">
        <v>108</v>
      </c>
      <c r="B32" s="2" t="s">
        <v>75</v>
      </c>
      <c r="C32" s="2" t="s">
        <v>48</v>
      </c>
      <c r="D32" s="2" t="s">
        <v>109</v>
      </c>
      <c r="E32" s="2" t="s">
        <v>50</v>
      </c>
      <c r="F32" s="2" t="s">
        <v>69</v>
      </c>
      <c r="G32" s="2" t="s">
        <v>51</v>
      </c>
      <c r="H32" s="2" t="s">
        <v>34</v>
      </c>
      <c r="I32" s="2" t="s">
        <v>42</v>
      </c>
      <c r="J32" s="3">
        <v>46180</v>
      </c>
      <c r="K32" s="2" t="s">
        <v>52</v>
      </c>
    </row>
    <row r="33" spans="1:11">
      <c r="A33" s="2" t="s">
        <v>110</v>
      </c>
      <c r="B33" s="2" t="s">
        <v>75</v>
      </c>
      <c r="C33" s="2" t="s">
        <v>23</v>
      </c>
      <c r="D33" s="2" t="s">
        <v>111</v>
      </c>
      <c r="E33" s="2" t="s">
        <v>50</v>
      </c>
      <c r="F33" s="2" t="s">
        <v>16</v>
      </c>
      <c r="G33" s="2" t="s">
        <v>65</v>
      </c>
      <c r="H33" s="2" t="s">
        <v>27</v>
      </c>
      <c r="I33" s="2" t="s">
        <v>28</v>
      </c>
      <c r="J33" s="3">
        <v>46189</v>
      </c>
      <c r="K33" s="2" t="s">
        <v>52</v>
      </c>
    </row>
    <row r="34" spans="1:11" ht="27.6">
      <c r="A34" s="2" t="s">
        <v>112</v>
      </c>
      <c r="B34" s="2" t="s">
        <v>47</v>
      </c>
      <c r="C34" s="2" t="s">
        <v>23</v>
      </c>
      <c r="D34" s="2" t="s">
        <v>113</v>
      </c>
      <c r="E34" s="2" t="s">
        <v>64</v>
      </c>
      <c r="F34" s="2" t="s">
        <v>32</v>
      </c>
      <c r="G34" s="2" t="s">
        <v>40</v>
      </c>
      <c r="H34" s="2" t="s">
        <v>18</v>
      </c>
      <c r="I34" s="2" t="s">
        <v>28</v>
      </c>
      <c r="J34" s="3">
        <v>46193</v>
      </c>
      <c r="K34" s="2" t="s">
        <v>66</v>
      </c>
    </row>
    <row r="35" spans="1:11">
      <c r="A35" s="2" t="s">
        <v>114</v>
      </c>
      <c r="B35" s="2" t="s">
        <v>47</v>
      </c>
      <c r="C35" s="2" t="s">
        <v>13</v>
      </c>
      <c r="D35" s="2" t="s">
        <v>115</v>
      </c>
      <c r="E35" s="2" t="s">
        <v>31</v>
      </c>
      <c r="F35" s="2" t="s">
        <v>69</v>
      </c>
      <c r="G35" s="2" t="s">
        <v>89</v>
      </c>
      <c r="H35" s="2" t="s">
        <v>27</v>
      </c>
      <c r="I35" s="2" t="s">
        <v>28</v>
      </c>
      <c r="J35" s="3">
        <v>46176</v>
      </c>
      <c r="K35" s="2" t="s">
        <v>35</v>
      </c>
    </row>
    <row r="36" spans="1:11">
      <c r="A36" s="2" t="s">
        <v>116</v>
      </c>
      <c r="B36" s="2" t="s">
        <v>75</v>
      </c>
      <c r="C36" s="2" t="s">
        <v>13</v>
      </c>
      <c r="D36" s="2" t="s">
        <v>117</v>
      </c>
      <c r="E36" s="2" t="s">
        <v>50</v>
      </c>
      <c r="F36" s="2" t="s">
        <v>69</v>
      </c>
      <c r="G36" s="2" t="s">
        <v>55</v>
      </c>
      <c r="H36" s="2" t="s">
        <v>41</v>
      </c>
      <c r="I36" s="2" t="s">
        <v>42</v>
      </c>
      <c r="J36" s="3">
        <v>46182</v>
      </c>
      <c r="K36" s="2" t="s">
        <v>52</v>
      </c>
    </row>
    <row r="37" spans="1:11">
      <c r="A37" s="2" t="s">
        <v>118</v>
      </c>
      <c r="B37" s="2" t="s">
        <v>22</v>
      </c>
      <c r="C37" s="2" t="s">
        <v>37</v>
      </c>
      <c r="D37" s="2" t="s">
        <v>119</v>
      </c>
      <c r="E37" s="2" t="s">
        <v>50</v>
      </c>
      <c r="F37" s="2" t="s">
        <v>69</v>
      </c>
      <c r="G37" s="2" t="s">
        <v>17</v>
      </c>
      <c r="H37" s="2" t="s">
        <v>27</v>
      </c>
      <c r="I37" s="2" t="s">
        <v>28</v>
      </c>
      <c r="J37" s="3">
        <v>46188</v>
      </c>
      <c r="K37" s="2" t="s">
        <v>52</v>
      </c>
    </row>
    <row r="38" spans="1:11">
      <c r="A38" s="2" t="s">
        <v>120</v>
      </c>
      <c r="B38" s="2" t="s">
        <v>47</v>
      </c>
      <c r="C38" s="2" t="s">
        <v>13</v>
      </c>
      <c r="D38" s="2" t="s">
        <v>121</v>
      </c>
      <c r="E38" s="2" t="s">
        <v>15</v>
      </c>
      <c r="F38" s="2" t="s">
        <v>32</v>
      </c>
      <c r="G38" s="2" t="s">
        <v>26</v>
      </c>
      <c r="H38" s="2" t="s">
        <v>41</v>
      </c>
      <c r="I38" s="2" t="s">
        <v>42</v>
      </c>
      <c r="J38" s="3">
        <v>46185</v>
      </c>
      <c r="K38" s="2" t="s">
        <v>20</v>
      </c>
    </row>
    <row r="39" spans="1:11">
      <c r="A39" s="2" t="s">
        <v>122</v>
      </c>
      <c r="B39" s="2" t="s">
        <v>75</v>
      </c>
      <c r="C39" s="2" t="s">
        <v>13</v>
      </c>
      <c r="D39" s="2" t="s">
        <v>123</v>
      </c>
      <c r="E39" s="2" t="s">
        <v>39</v>
      </c>
      <c r="F39" s="2" t="s">
        <v>69</v>
      </c>
      <c r="G39" s="2" t="s">
        <v>55</v>
      </c>
      <c r="H39" s="2" t="s">
        <v>34</v>
      </c>
      <c r="I39" s="2" t="s">
        <v>28</v>
      </c>
      <c r="J39" s="3">
        <v>46196</v>
      </c>
      <c r="K39" s="2" t="s">
        <v>43</v>
      </c>
    </row>
    <row r="40" spans="1:11">
      <c r="A40" s="2" t="s">
        <v>124</v>
      </c>
      <c r="B40" s="2" t="s">
        <v>75</v>
      </c>
      <c r="C40" s="2" t="s">
        <v>23</v>
      </c>
      <c r="D40" s="2" t="s">
        <v>125</v>
      </c>
      <c r="E40" s="2" t="s">
        <v>50</v>
      </c>
      <c r="F40" s="2" t="s">
        <v>16</v>
      </c>
      <c r="G40" s="2" t="s">
        <v>65</v>
      </c>
      <c r="H40" s="2" t="s">
        <v>18</v>
      </c>
      <c r="I40" s="2" t="s">
        <v>19</v>
      </c>
      <c r="J40" s="3">
        <v>46177</v>
      </c>
      <c r="K40" s="2" t="s">
        <v>52</v>
      </c>
    </row>
    <row r="41" spans="1:11">
      <c r="A41" s="2" t="s">
        <v>126</v>
      </c>
      <c r="B41" s="2" t="s">
        <v>75</v>
      </c>
      <c r="C41" s="2" t="s">
        <v>37</v>
      </c>
      <c r="D41" s="2" t="s">
        <v>127</v>
      </c>
      <c r="E41" s="2" t="s">
        <v>39</v>
      </c>
      <c r="F41" s="2" t="s">
        <v>69</v>
      </c>
      <c r="G41" s="2" t="s">
        <v>40</v>
      </c>
      <c r="H41" s="2" t="s">
        <v>18</v>
      </c>
      <c r="I41" s="2" t="s">
        <v>19</v>
      </c>
      <c r="J41" s="3">
        <v>46184</v>
      </c>
      <c r="K41" s="2" t="s">
        <v>43</v>
      </c>
    </row>
    <row r="42" spans="1:11">
      <c r="A42" s="2" t="s">
        <v>128</v>
      </c>
      <c r="B42" s="2" t="s">
        <v>22</v>
      </c>
      <c r="C42" s="2" t="s">
        <v>37</v>
      </c>
      <c r="D42" s="2" t="s">
        <v>129</v>
      </c>
      <c r="E42" s="2" t="s">
        <v>31</v>
      </c>
      <c r="F42" s="2" t="s">
        <v>32</v>
      </c>
      <c r="G42" s="2" t="s">
        <v>17</v>
      </c>
      <c r="H42" s="2" t="s">
        <v>27</v>
      </c>
      <c r="I42" s="2" t="s">
        <v>28</v>
      </c>
      <c r="J42" s="3">
        <v>46194</v>
      </c>
      <c r="K42" s="2" t="s">
        <v>35</v>
      </c>
    </row>
    <row r="43" spans="1:11">
      <c r="A43" s="2" t="s">
        <v>130</v>
      </c>
      <c r="B43" s="2" t="s">
        <v>75</v>
      </c>
      <c r="C43" s="2" t="s">
        <v>13</v>
      </c>
      <c r="D43" s="2" t="s">
        <v>131</v>
      </c>
      <c r="E43" s="2" t="s">
        <v>50</v>
      </c>
      <c r="F43" s="2" t="s">
        <v>32</v>
      </c>
      <c r="G43" s="2" t="s">
        <v>65</v>
      </c>
      <c r="H43" s="2" t="s">
        <v>41</v>
      </c>
      <c r="I43" s="2" t="s">
        <v>42</v>
      </c>
      <c r="J43" s="3">
        <v>46197</v>
      </c>
      <c r="K43" s="2" t="s">
        <v>52</v>
      </c>
    </row>
    <row r="44" spans="1:11">
      <c r="A44" s="2" t="s">
        <v>132</v>
      </c>
      <c r="B44" s="2" t="s">
        <v>47</v>
      </c>
      <c r="C44" s="2" t="s">
        <v>23</v>
      </c>
      <c r="D44" s="2" t="s">
        <v>133</v>
      </c>
      <c r="E44" s="2" t="s">
        <v>50</v>
      </c>
      <c r="F44" s="2" t="s">
        <v>69</v>
      </c>
      <c r="G44" s="2" t="s">
        <v>65</v>
      </c>
      <c r="H44" s="2" t="s">
        <v>18</v>
      </c>
      <c r="I44" s="2" t="s">
        <v>28</v>
      </c>
      <c r="J44" s="3">
        <v>46175</v>
      </c>
      <c r="K44" s="2" t="s">
        <v>52</v>
      </c>
    </row>
    <row r="45" spans="1:11">
      <c r="A45" s="2" t="s">
        <v>134</v>
      </c>
      <c r="B45" s="2" t="s">
        <v>22</v>
      </c>
      <c r="C45" s="2" t="s">
        <v>13</v>
      </c>
      <c r="D45" s="2" t="s">
        <v>135</v>
      </c>
      <c r="E45" s="2" t="s">
        <v>39</v>
      </c>
      <c r="F45" s="2" t="s">
        <v>32</v>
      </c>
      <c r="G45" s="2" t="s">
        <v>40</v>
      </c>
      <c r="H45" s="2" t="s">
        <v>27</v>
      </c>
      <c r="I45" s="2" t="s">
        <v>19</v>
      </c>
      <c r="J45" s="3">
        <v>46185</v>
      </c>
      <c r="K45" s="2" t="s">
        <v>43</v>
      </c>
    </row>
    <row r="46" spans="1:11">
      <c r="A46" s="2" t="s">
        <v>136</v>
      </c>
      <c r="B46" s="2" t="s">
        <v>75</v>
      </c>
      <c r="C46" s="2" t="s">
        <v>13</v>
      </c>
      <c r="D46" s="2" t="s">
        <v>137</v>
      </c>
      <c r="E46" s="2" t="s">
        <v>39</v>
      </c>
      <c r="F46" s="2" t="s">
        <v>69</v>
      </c>
      <c r="G46" s="2" t="s">
        <v>65</v>
      </c>
      <c r="H46" s="2" t="s">
        <v>18</v>
      </c>
      <c r="I46" s="2" t="s">
        <v>19</v>
      </c>
      <c r="J46" s="3">
        <v>46177</v>
      </c>
      <c r="K46" s="2" t="s">
        <v>43</v>
      </c>
    </row>
    <row r="47" spans="1:11">
      <c r="A47" s="2" t="s">
        <v>138</v>
      </c>
      <c r="B47" s="2" t="s">
        <v>12</v>
      </c>
      <c r="C47" s="2" t="s">
        <v>13</v>
      </c>
      <c r="D47" s="2" t="s">
        <v>139</v>
      </c>
      <c r="E47" s="2" t="s">
        <v>50</v>
      </c>
      <c r="F47" s="2" t="s">
        <v>69</v>
      </c>
      <c r="G47" s="2" t="s">
        <v>89</v>
      </c>
      <c r="H47" s="2" t="s">
        <v>18</v>
      </c>
      <c r="I47" s="2" t="s">
        <v>42</v>
      </c>
      <c r="J47" s="3">
        <v>46187</v>
      </c>
      <c r="K47" s="2" t="s">
        <v>52</v>
      </c>
    </row>
    <row r="48" spans="1:11">
      <c r="A48" s="2" t="s">
        <v>140</v>
      </c>
      <c r="B48" s="2" t="s">
        <v>22</v>
      </c>
      <c r="C48" s="2" t="s">
        <v>13</v>
      </c>
      <c r="D48" s="2" t="s">
        <v>141</v>
      </c>
      <c r="E48" s="2" t="s">
        <v>31</v>
      </c>
      <c r="F48" s="2" t="s">
        <v>32</v>
      </c>
      <c r="G48" s="2" t="s">
        <v>55</v>
      </c>
      <c r="H48" s="2" t="s">
        <v>41</v>
      </c>
      <c r="I48" s="2" t="s">
        <v>42</v>
      </c>
      <c r="J48" s="3">
        <v>46199</v>
      </c>
      <c r="K48" s="2" t="s">
        <v>35</v>
      </c>
    </row>
    <row r="49" spans="1:11">
      <c r="A49" s="2" t="s">
        <v>142</v>
      </c>
      <c r="B49" s="2" t="s">
        <v>22</v>
      </c>
      <c r="C49" s="2" t="s">
        <v>13</v>
      </c>
      <c r="D49" s="2" t="s">
        <v>143</v>
      </c>
      <c r="E49" s="2" t="s">
        <v>15</v>
      </c>
      <c r="F49" s="2" t="s">
        <v>16</v>
      </c>
      <c r="G49" s="2" t="s">
        <v>65</v>
      </c>
      <c r="H49" s="2" t="s">
        <v>18</v>
      </c>
      <c r="I49" s="2" t="s">
        <v>28</v>
      </c>
      <c r="J49" s="3">
        <v>46185</v>
      </c>
      <c r="K49" s="2" t="s">
        <v>20</v>
      </c>
    </row>
    <row r="50" spans="1:11">
      <c r="A50" s="2" t="s">
        <v>144</v>
      </c>
      <c r="B50" s="2" t="s">
        <v>12</v>
      </c>
      <c r="C50" s="2" t="s">
        <v>23</v>
      </c>
      <c r="D50" s="2" t="s">
        <v>145</v>
      </c>
      <c r="E50" s="2" t="s">
        <v>50</v>
      </c>
      <c r="F50" s="2" t="s">
        <v>69</v>
      </c>
      <c r="G50" s="2" t="s">
        <v>33</v>
      </c>
      <c r="H50" s="2" t="s">
        <v>18</v>
      </c>
      <c r="I50" s="2" t="s">
        <v>28</v>
      </c>
      <c r="J50" s="3">
        <v>46184</v>
      </c>
      <c r="K50" s="2" t="s">
        <v>52</v>
      </c>
    </row>
    <row r="51" spans="1:11">
      <c r="A51" s="2" t="s">
        <v>146</v>
      </c>
      <c r="B51" s="2" t="s">
        <v>75</v>
      </c>
      <c r="C51" s="2" t="s">
        <v>48</v>
      </c>
      <c r="D51" s="2" t="s">
        <v>147</v>
      </c>
      <c r="E51" s="2" t="s">
        <v>50</v>
      </c>
      <c r="F51" s="2" t="s">
        <v>32</v>
      </c>
      <c r="G51" s="2" t="s">
        <v>17</v>
      </c>
      <c r="H51" s="2" t="s">
        <v>41</v>
      </c>
      <c r="I51" s="2" t="s">
        <v>28</v>
      </c>
      <c r="J51" s="3">
        <v>46177</v>
      </c>
      <c r="K51" s="2" t="s">
        <v>52</v>
      </c>
    </row>
    <row r="52" spans="1:11">
      <c r="A52" s="2" t="s">
        <v>148</v>
      </c>
      <c r="B52" s="2" t="s">
        <v>47</v>
      </c>
      <c r="C52" s="2" t="s">
        <v>23</v>
      </c>
      <c r="D52" s="2" t="s">
        <v>149</v>
      </c>
      <c r="E52" s="2" t="s">
        <v>39</v>
      </c>
      <c r="F52" s="2" t="s">
        <v>32</v>
      </c>
      <c r="G52" s="2" t="s">
        <v>17</v>
      </c>
      <c r="H52" s="2" t="s">
        <v>34</v>
      </c>
      <c r="I52" s="2" t="s">
        <v>19</v>
      </c>
      <c r="J52" s="3">
        <v>46197</v>
      </c>
      <c r="K52" s="2" t="s">
        <v>43</v>
      </c>
    </row>
    <row r="53" spans="1:11">
      <c r="A53" s="2" t="s">
        <v>150</v>
      </c>
      <c r="B53" s="2" t="s">
        <v>22</v>
      </c>
      <c r="C53" s="2" t="s">
        <v>13</v>
      </c>
      <c r="D53" s="2" t="s">
        <v>151</v>
      </c>
      <c r="E53" s="2" t="s">
        <v>15</v>
      </c>
      <c r="F53" s="2" t="s">
        <v>16</v>
      </c>
      <c r="G53" s="2" t="s">
        <v>26</v>
      </c>
      <c r="H53" s="2" t="s">
        <v>41</v>
      </c>
      <c r="I53" s="2" t="s">
        <v>28</v>
      </c>
      <c r="J53" s="3">
        <v>46196</v>
      </c>
      <c r="K53" s="2" t="s">
        <v>20</v>
      </c>
    </row>
    <row r="54" spans="1:11">
      <c r="A54" s="2" t="s">
        <v>152</v>
      </c>
      <c r="B54" s="2" t="s">
        <v>75</v>
      </c>
      <c r="C54" s="2" t="s">
        <v>48</v>
      </c>
      <c r="D54" s="2" t="s">
        <v>153</v>
      </c>
      <c r="E54" s="2" t="s">
        <v>50</v>
      </c>
      <c r="F54" s="2" t="s">
        <v>69</v>
      </c>
      <c r="G54" s="2" t="s">
        <v>33</v>
      </c>
      <c r="H54" s="2" t="s">
        <v>27</v>
      </c>
      <c r="I54" s="2" t="s">
        <v>19</v>
      </c>
      <c r="J54" s="3">
        <v>46184</v>
      </c>
      <c r="K54" s="2" t="s">
        <v>52</v>
      </c>
    </row>
    <row r="55" spans="1:11">
      <c r="A55" s="2" t="s">
        <v>154</v>
      </c>
      <c r="B55" s="2" t="s">
        <v>75</v>
      </c>
      <c r="C55" s="2" t="s">
        <v>37</v>
      </c>
      <c r="D55" s="2" t="s">
        <v>155</v>
      </c>
      <c r="E55" s="2" t="s">
        <v>15</v>
      </c>
      <c r="F55" s="2" t="s">
        <v>32</v>
      </c>
      <c r="G55" s="2" t="s">
        <v>26</v>
      </c>
      <c r="H55" s="2" t="s">
        <v>34</v>
      </c>
      <c r="I55" s="2" t="s">
        <v>19</v>
      </c>
      <c r="J55" s="3">
        <v>46186</v>
      </c>
      <c r="K55" s="2" t="s">
        <v>20</v>
      </c>
    </row>
    <row r="56" spans="1:11">
      <c r="A56" s="2" t="s">
        <v>156</v>
      </c>
      <c r="B56" s="2" t="s">
        <v>22</v>
      </c>
      <c r="C56" s="2" t="s">
        <v>48</v>
      </c>
      <c r="D56" s="2" t="s">
        <v>157</v>
      </c>
      <c r="E56" s="2" t="s">
        <v>15</v>
      </c>
      <c r="F56" s="2" t="s">
        <v>32</v>
      </c>
      <c r="G56" s="2" t="s">
        <v>33</v>
      </c>
      <c r="H56" s="2" t="s">
        <v>18</v>
      </c>
      <c r="I56" s="2" t="s">
        <v>28</v>
      </c>
      <c r="J56" s="3">
        <v>46192</v>
      </c>
      <c r="K56" s="2" t="s">
        <v>20</v>
      </c>
    </row>
    <row r="57" spans="1:11">
      <c r="A57" s="2" t="s">
        <v>158</v>
      </c>
      <c r="B57" s="2" t="s">
        <v>75</v>
      </c>
      <c r="C57" s="2" t="s">
        <v>37</v>
      </c>
      <c r="D57" s="2" t="s">
        <v>159</v>
      </c>
      <c r="E57" s="2" t="s">
        <v>50</v>
      </c>
      <c r="F57" s="2" t="s">
        <v>69</v>
      </c>
      <c r="G57" s="2" t="s">
        <v>65</v>
      </c>
      <c r="H57" s="2" t="s">
        <v>18</v>
      </c>
      <c r="I57" s="2" t="s">
        <v>28</v>
      </c>
      <c r="J57" s="3">
        <v>46199</v>
      </c>
      <c r="K57" s="2" t="s">
        <v>52</v>
      </c>
    </row>
    <row r="58" spans="1:11" ht="27.6">
      <c r="A58" s="2" t="s">
        <v>160</v>
      </c>
      <c r="B58" s="2" t="s">
        <v>22</v>
      </c>
      <c r="C58" s="2" t="s">
        <v>48</v>
      </c>
      <c r="D58" s="2" t="s">
        <v>161</v>
      </c>
      <c r="E58" s="2" t="s">
        <v>64</v>
      </c>
      <c r="F58" s="2" t="s">
        <v>25</v>
      </c>
      <c r="G58" s="2" t="s">
        <v>51</v>
      </c>
      <c r="H58" s="2" t="s">
        <v>18</v>
      </c>
      <c r="I58" s="2" t="s">
        <v>28</v>
      </c>
      <c r="J58" s="3">
        <v>46189</v>
      </c>
      <c r="K58" s="2" t="s">
        <v>66</v>
      </c>
    </row>
    <row r="59" spans="1:11">
      <c r="A59" s="2" t="s">
        <v>162</v>
      </c>
      <c r="B59" s="2" t="s">
        <v>47</v>
      </c>
      <c r="C59" s="2" t="s">
        <v>37</v>
      </c>
      <c r="D59" s="2" t="s">
        <v>163</v>
      </c>
      <c r="E59" s="2" t="s">
        <v>15</v>
      </c>
      <c r="F59" s="2" t="s">
        <v>25</v>
      </c>
      <c r="G59" s="2" t="s">
        <v>40</v>
      </c>
      <c r="H59" s="2" t="s">
        <v>41</v>
      </c>
      <c r="I59" s="2" t="s">
        <v>28</v>
      </c>
      <c r="J59" s="3">
        <v>46198</v>
      </c>
      <c r="K59" s="2" t="s">
        <v>20</v>
      </c>
    </row>
    <row r="60" spans="1:11">
      <c r="A60" s="2" t="s">
        <v>164</v>
      </c>
      <c r="B60" s="2" t="s">
        <v>12</v>
      </c>
      <c r="C60" s="2" t="s">
        <v>23</v>
      </c>
      <c r="D60" s="2" t="s">
        <v>165</v>
      </c>
      <c r="E60" s="2" t="s">
        <v>31</v>
      </c>
      <c r="F60" s="2" t="s">
        <v>16</v>
      </c>
      <c r="G60" s="2" t="s">
        <v>33</v>
      </c>
      <c r="H60" s="2" t="s">
        <v>27</v>
      </c>
      <c r="I60" s="2" t="s">
        <v>42</v>
      </c>
      <c r="J60" s="3">
        <v>46189</v>
      </c>
      <c r="K60" s="2" t="s">
        <v>35</v>
      </c>
    </row>
    <row r="61" spans="1:11" ht="27.6">
      <c r="A61" s="2" t="s">
        <v>166</v>
      </c>
      <c r="B61" s="2" t="s">
        <v>22</v>
      </c>
      <c r="C61" s="2" t="s">
        <v>13</v>
      </c>
      <c r="D61" s="2" t="s">
        <v>167</v>
      </c>
      <c r="E61" s="2" t="s">
        <v>64</v>
      </c>
      <c r="F61" s="2" t="s">
        <v>25</v>
      </c>
      <c r="G61" s="2" t="s">
        <v>51</v>
      </c>
      <c r="H61" s="2" t="s">
        <v>34</v>
      </c>
      <c r="I61" s="2" t="s">
        <v>28</v>
      </c>
      <c r="J61" s="3">
        <v>46186</v>
      </c>
      <c r="K61" s="2" t="s">
        <v>66</v>
      </c>
    </row>
    <row r="62" spans="1:11">
      <c r="A62" s="2" t="s">
        <v>168</v>
      </c>
      <c r="B62" s="2" t="s">
        <v>47</v>
      </c>
      <c r="C62" s="2" t="s">
        <v>48</v>
      </c>
      <c r="D62" s="2" t="s">
        <v>169</v>
      </c>
      <c r="E62" s="2" t="s">
        <v>50</v>
      </c>
      <c r="F62" s="2" t="s">
        <v>69</v>
      </c>
      <c r="G62" s="2" t="s">
        <v>65</v>
      </c>
      <c r="H62" s="2" t="s">
        <v>18</v>
      </c>
      <c r="I62" s="2" t="s">
        <v>42</v>
      </c>
      <c r="J62" s="3">
        <v>46199</v>
      </c>
      <c r="K62" s="2" t="s">
        <v>52</v>
      </c>
    </row>
    <row r="63" spans="1:11">
      <c r="A63" s="2" t="s">
        <v>170</v>
      </c>
      <c r="B63" s="2" t="s">
        <v>12</v>
      </c>
      <c r="C63" s="2" t="s">
        <v>23</v>
      </c>
      <c r="D63" s="2" t="s">
        <v>171</v>
      </c>
      <c r="E63" s="2" t="s">
        <v>39</v>
      </c>
      <c r="F63" s="2" t="s">
        <v>32</v>
      </c>
      <c r="G63" s="2" t="s">
        <v>65</v>
      </c>
      <c r="H63" s="2" t="s">
        <v>34</v>
      </c>
      <c r="I63" s="2" t="s">
        <v>42</v>
      </c>
      <c r="J63" s="3">
        <v>46199</v>
      </c>
      <c r="K63" s="2" t="s">
        <v>43</v>
      </c>
    </row>
    <row r="64" spans="1:11" ht="27.6">
      <c r="A64" s="2" t="s">
        <v>172</v>
      </c>
      <c r="B64" s="2" t="s">
        <v>22</v>
      </c>
      <c r="C64" s="2" t="s">
        <v>48</v>
      </c>
      <c r="D64" s="2" t="s">
        <v>173</v>
      </c>
      <c r="E64" s="2" t="s">
        <v>64</v>
      </c>
      <c r="F64" s="2" t="s">
        <v>25</v>
      </c>
      <c r="G64" s="2" t="s">
        <v>55</v>
      </c>
      <c r="H64" s="2" t="s">
        <v>34</v>
      </c>
      <c r="I64" s="2" t="s">
        <v>42</v>
      </c>
      <c r="J64" s="3">
        <v>46197</v>
      </c>
      <c r="K64" s="2" t="s">
        <v>66</v>
      </c>
    </row>
    <row r="65" spans="1:11">
      <c r="A65" s="2" t="s">
        <v>174</v>
      </c>
      <c r="B65" s="2" t="s">
        <v>75</v>
      </c>
      <c r="C65" s="2" t="s">
        <v>48</v>
      </c>
      <c r="D65" s="2" t="s">
        <v>175</v>
      </c>
      <c r="E65" s="2" t="s">
        <v>39</v>
      </c>
      <c r="F65" s="2" t="s">
        <v>32</v>
      </c>
      <c r="G65" s="2" t="s">
        <v>33</v>
      </c>
      <c r="H65" s="2" t="s">
        <v>18</v>
      </c>
      <c r="I65" s="2" t="s">
        <v>19</v>
      </c>
      <c r="J65" s="3">
        <v>46188</v>
      </c>
      <c r="K65" s="2" t="s">
        <v>43</v>
      </c>
    </row>
    <row r="66" spans="1:11">
      <c r="A66" s="2" t="s">
        <v>176</v>
      </c>
      <c r="B66" s="2" t="s">
        <v>75</v>
      </c>
      <c r="C66" s="2" t="s">
        <v>37</v>
      </c>
      <c r="D66" s="2" t="s">
        <v>177</v>
      </c>
      <c r="E66" s="2" t="s">
        <v>31</v>
      </c>
      <c r="F66" s="2" t="s">
        <v>16</v>
      </c>
      <c r="G66" s="2" t="s">
        <v>17</v>
      </c>
      <c r="H66" s="2" t="s">
        <v>27</v>
      </c>
      <c r="I66" s="2" t="s">
        <v>42</v>
      </c>
      <c r="J66" s="3">
        <v>46178</v>
      </c>
      <c r="K66" s="2" t="s">
        <v>35</v>
      </c>
    </row>
    <row r="67" spans="1:11">
      <c r="A67" s="2" t="s">
        <v>178</v>
      </c>
      <c r="B67" s="2" t="s">
        <v>47</v>
      </c>
      <c r="C67" s="2" t="s">
        <v>48</v>
      </c>
      <c r="D67" s="2" t="s">
        <v>179</v>
      </c>
      <c r="E67" s="2" t="s">
        <v>31</v>
      </c>
      <c r="F67" s="2" t="s">
        <v>32</v>
      </c>
      <c r="G67" s="2" t="s">
        <v>33</v>
      </c>
      <c r="H67" s="2" t="s">
        <v>34</v>
      </c>
      <c r="I67" s="2" t="s">
        <v>19</v>
      </c>
      <c r="J67" s="3">
        <v>46191</v>
      </c>
      <c r="K67" s="2" t="s">
        <v>35</v>
      </c>
    </row>
    <row r="68" spans="1:11" ht="27.6">
      <c r="A68" s="2" t="s">
        <v>180</v>
      </c>
      <c r="B68" s="2" t="s">
        <v>22</v>
      </c>
      <c r="C68" s="2" t="s">
        <v>23</v>
      </c>
      <c r="D68" s="2" t="s">
        <v>181</v>
      </c>
      <c r="E68" s="2" t="s">
        <v>64</v>
      </c>
      <c r="F68" s="2" t="s">
        <v>16</v>
      </c>
      <c r="G68" s="2" t="s">
        <v>89</v>
      </c>
      <c r="H68" s="2" t="s">
        <v>34</v>
      </c>
      <c r="I68" s="2" t="s">
        <v>28</v>
      </c>
      <c r="J68" s="3">
        <v>46174</v>
      </c>
      <c r="K68" s="2" t="s">
        <v>66</v>
      </c>
    </row>
    <row r="69" spans="1:11">
      <c r="A69" s="2" t="s">
        <v>182</v>
      </c>
      <c r="B69" s="2" t="s">
        <v>22</v>
      </c>
      <c r="C69" s="2" t="s">
        <v>13</v>
      </c>
      <c r="D69" s="2" t="s">
        <v>183</v>
      </c>
      <c r="E69" s="2" t="s">
        <v>39</v>
      </c>
      <c r="F69" s="2" t="s">
        <v>32</v>
      </c>
      <c r="G69" s="2" t="s">
        <v>89</v>
      </c>
      <c r="H69" s="2" t="s">
        <v>34</v>
      </c>
      <c r="I69" s="2" t="s">
        <v>42</v>
      </c>
      <c r="J69" s="3">
        <v>46182</v>
      </c>
      <c r="K69" s="2" t="s">
        <v>43</v>
      </c>
    </row>
    <row r="70" spans="1:11">
      <c r="A70" s="2" t="s">
        <v>184</v>
      </c>
      <c r="B70" s="2" t="s">
        <v>22</v>
      </c>
      <c r="C70" s="2" t="s">
        <v>13</v>
      </c>
      <c r="D70" s="2" t="s">
        <v>185</v>
      </c>
      <c r="E70" s="2" t="s">
        <v>50</v>
      </c>
      <c r="F70" s="2" t="s">
        <v>32</v>
      </c>
      <c r="G70" s="2" t="s">
        <v>55</v>
      </c>
      <c r="H70" s="2" t="s">
        <v>34</v>
      </c>
      <c r="I70" s="2" t="s">
        <v>42</v>
      </c>
      <c r="J70" s="3">
        <v>46193</v>
      </c>
      <c r="K70" s="2" t="s">
        <v>52</v>
      </c>
    </row>
    <row r="71" spans="1:11" ht="27.6">
      <c r="A71" s="2" t="s">
        <v>186</v>
      </c>
      <c r="B71" s="2" t="s">
        <v>47</v>
      </c>
      <c r="C71" s="2" t="s">
        <v>48</v>
      </c>
      <c r="D71" s="2" t="s">
        <v>187</v>
      </c>
      <c r="E71" s="2" t="s">
        <v>64</v>
      </c>
      <c r="F71" s="2" t="s">
        <v>32</v>
      </c>
      <c r="G71" s="2" t="s">
        <v>65</v>
      </c>
      <c r="H71" s="2" t="s">
        <v>18</v>
      </c>
      <c r="I71" s="2" t="s">
        <v>28</v>
      </c>
      <c r="J71" s="3">
        <v>46179</v>
      </c>
      <c r="K71" s="2" t="s">
        <v>66</v>
      </c>
    </row>
    <row r="72" spans="1:11">
      <c r="A72" s="2" t="s">
        <v>188</v>
      </c>
      <c r="B72" s="2" t="s">
        <v>22</v>
      </c>
      <c r="C72" s="2" t="s">
        <v>37</v>
      </c>
      <c r="D72" s="2" t="s">
        <v>189</v>
      </c>
      <c r="E72" s="2" t="s">
        <v>31</v>
      </c>
      <c r="F72" s="2" t="s">
        <v>16</v>
      </c>
      <c r="G72" s="2" t="s">
        <v>33</v>
      </c>
      <c r="H72" s="2" t="s">
        <v>41</v>
      </c>
      <c r="I72" s="2" t="s">
        <v>28</v>
      </c>
      <c r="J72" s="3">
        <v>46182</v>
      </c>
      <c r="K72" s="2" t="s">
        <v>35</v>
      </c>
    </row>
    <row r="73" spans="1:11">
      <c r="A73" s="2" t="s">
        <v>190</v>
      </c>
      <c r="B73" s="2" t="s">
        <v>47</v>
      </c>
      <c r="C73" s="2" t="s">
        <v>48</v>
      </c>
      <c r="D73" s="2" t="s">
        <v>191</v>
      </c>
      <c r="E73" s="2" t="s">
        <v>15</v>
      </c>
      <c r="F73" s="2" t="s">
        <v>32</v>
      </c>
      <c r="G73" s="2" t="s">
        <v>17</v>
      </c>
      <c r="H73" s="2" t="s">
        <v>27</v>
      </c>
      <c r="I73" s="2" t="s">
        <v>19</v>
      </c>
      <c r="J73" s="3">
        <v>46191</v>
      </c>
      <c r="K73" s="2" t="s">
        <v>20</v>
      </c>
    </row>
    <row r="74" spans="1:11">
      <c r="A74" s="2" t="s">
        <v>192</v>
      </c>
      <c r="B74" s="2" t="s">
        <v>47</v>
      </c>
      <c r="C74" s="2" t="s">
        <v>23</v>
      </c>
      <c r="D74" s="2" t="s">
        <v>193</v>
      </c>
      <c r="E74" s="2" t="s">
        <v>31</v>
      </c>
      <c r="F74" s="2" t="s">
        <v>69</v>
      </c>
      <c r="G74" s="2" t="s">
        <v>33</v>
      </c>
      <c r="H74" s="2" t="s">
        <v>27</v>
      </c>
      <c r="I74" s="2" t="s">
        <v>42</v>
      </c>
      <c r="J74" s="3">
        <v>46180</v>
      </c>
      <c r="K74" s="2" t="s">
        <v>35</v>
      </c>
    </row>
    <row r="75" spans="1:11">
      <c r="A75" s="2" t="s">
        <v>194</v>
      </c>
      <c r="B75" s="2" t="s">
        <v>12</v>
      </c>
      <c r="C75" s="2" t="s">
        <v>48</v>
      </c>
      <c r="D75" s="2" t="s">
        <v>195</v>
      </c>
      <c r="E75" s="2" t="s">
        <v>39</v>
      </c>
      <c r="F75" s="2" t="s">
        <v>32</v>
      </c>
      <c r="G75" s="2" t="s">
        <v>33</v>
      </c>
      <c r="H75" s="2" t="s">
        <v>27</v>
      </c>
      <c r="I75" s="2" t="s">
        <v>28</v>
      </c>
      <c r="J75" s="3">
        <v>46180</v>
      </c>
      <c r="K75" s="2" t="s">
        <v>43</v>
      </c>
    </row>
    <row r="76" spans="1:11" ht="27.6">
      <c r="A76" s="2" t="s">
        <v>196</v>
      </c>
      <c r="B76" s="2" t="s">
        <v>12</v>
      </c>
      <c r="C76" s="2" t="s">
        <v>23</v>
      </c>
      <c r="D76" s="2" t="s">
        <v>197</v>
      </c>
      <c r="E76" s="2" t="s">
        <v>64</v>
      </c>
      <c r="F76" s="2" t="s">
        <v>16</v>
      </c>
      <c r="G76" s="2" t="s">
        <v>55</v>
      </c>
      <c r="H76" s="2" t="s">
        <v>18</v>
      </c>
      <c r="I76" s="2" t="s">
        <v>19</v>
      </c>
      <c r="J76" s="3">
        <v>46177</v>
      </c>
      <c r="K76" s="2" t="s">
        <v>66</v>
      </c>
    </row>
    <row r="77" spans="1:11" ht="27.6">
      <c r="A77" s="2" t="s">
        <v>198</v>
      </c>
      <c r="B77" s="2" t="s">
        <v>22</v>
      </c>
      <c r="C77" s="2" t="s">
        <v>13</v>
      </c>
      <c r="D77" s="2" t="s">
        <v>199</v>
      </c>
      <c r="E77" s="2" t="s">
        <v>64</v>
      </c>
      <c r="F77" s="2" t="s">
        <v>32</v>
      </c>
      <c r="G77" s="2" t="s">
        <v>89</v>
      </c>
      <c r="H77" s="2" t="s">
        <v>27</v>
      </c>
      <c r="I77" s="2" t="s">
        <v>28</v>
      </c>
      <c r="J77" s="3">
        <v>46196</v>
      </c>
      <c r="K77" s="2" t="s">
        <v>66</v>
      </c>
    </row>
    <row r="78" spans="1:11">
      <c r="A78" s="2" t="s">
        <v>200</v>
      </c>
      <c r="B78" s="2" t="s">
        <v>47</v>
      </c>
      <c r="C78" s="2" t="s">
        <v>23</v>
      </c>
      <c r="D78" s="2" t="s">
        <v>201</v>
      </c>
      <c r="E78" s="2" t="s">
        <v>39</v>
      </c>
      <c r="F78" s="2" t="s">
        <v>32</v>
      </c>
      <c r="G78" s="2" t="s">
        <v>17</v>
      </c>
      <c r="H78" s="2" t="s">
        <v>41</v>
      </c>
      <c r="I78" s="2" t="s">
        <v>28</v>
      </c>
      <c r="J78" s="3">
        <v>46187</v>
      </c>
      <c r="K78" s="2" t="s">
        <v>43</v>
      </c>
    </row>
    <row r="79" spans="1:11">
      <c r="A79" s="2" t="s">
        <v>202</v>
      </c>
      <c r="B79" s="2" t="s">
        <v>47</v>
      </c>
      <c r="C79" s="2" t="s">
        <v>48</v>
      </c>
      <c r="D79" s="2" t="s">
        <v>203</v>
      </c>
      <c r="E79" s="2" t="s">
        <v>15</v>
      </c>
      <c r="F79" s="2" t="s">
        <v>16</v>
      </c>
      <c r="G79" s="2" t="s">
        <v>55</v>
      </c>
      <c r="H79" s="2" t="s">
        <v>34</v>
      </c>
      <c r="I79" s="2" t="s">
        <v>28</v>
      </c>
      <c r="J79" s="3">
        <v>46187</v>
      </c>
      <c r="K79" s="2" t="s">
        <v>20</v>
      </c>
    </row>
    <row r="80" spans="1:11">
      <c r="A80" s="2" t="s">
        <v>204</v>
      </c>
      <c r="B80" s="2" t="s">
        <v>12</v>
      </c>
      <c r="C80" s="2" t="s">
        <v>48</v>
      </c>
      <c r="D80" s="2" t="s">
        <v>205</v>
      </c>
      <c r="E80" s="2" t="s">
        <v>39</v>
      </c>
      <c r="F80" s="2" t="s">
        <v>32</v>
      </c>
      <c r="G80" s="2" t="s">
        <v>51</v>
      </c>
      <c r="H80" s="2" t="s">
        <v>18</v>
      </c>
      <c r="I80" s="2" t="s">
        <v>19</v>
      </c>
      <c r="J80" s="3">
        <v>46190</v>
      </c>
      <c r="K80" s="2" t="s">
        <v>43</v>
      </c>
    </row>
    <row r="81" spans="1:11">
      <c r="A81" s="2" t="s">
        <v>206</v>
      </c>
      <c r="B81" s="2" t="s">
        <v>22</v>
      </c>
      <c r="C81" s="2" t="s">
        <v>48</v>
      </c>
      <c r="D81" s="2" t="s">
        <v>207</v>
      </c>
      <c r="E81" s="2" t="s">
        <v>39</v>
      </c>
      <c r="F81" s="2" t="s">
        <v>32</v>
      </c>
      <c r="G81" s="2" t="s">
        <v>51</v>
      </c>
      <c r="H81" s="2" t="s">
        <v>41</v>
      </c>
      <c r="I81" s="2" t="s">
        <v>19</v>
      </c>
      <c r="J81" s="3">
        <v>46181</v>
      </c>
      <c r="K81" s="2" t="s">
        <v>43</v>
      </c>
    </row>
    <row r="82" spans="1:11">
      <c r="A82" s="2" t="s">
        <v>208</v>
      </c>
      <c r="B82" s="2" t="s">
        <v>12</v>
      </c>
      <c r="C82" s="2" t="s">
        <v>48</v>
      </c>
      <c r="D82" s="2" t="s">
        <v>209</v>
      </c>
      <c r="E82" s="2" t="s">
        <v>39</v>
      </c>
      <c r="F82" s="2" t="s">
        <v>32</v>
      </c>
      <c r="G82" s="2" t="s">
        <v>51</v>
      </c>
      <c r="H82" s="2" t="s">
        <v>34</v>
      </c>
      <c r="I82" s="2" t="s">
        <v>19</v>
      </c>
      <c r="J82" s="3">
        <v>46174</v>
      </c>
      <c r="K82" s="2" t="s">
        <v>43</v>
      </c>
    </row>
    <row r="83" spans="1:11" ht="27.6">
      <c r="A83" s="2" t="s">
        <v>210</v>
      </c>
      <c r="B83" s="2" t="s">
        <v>12</v>
      </c>
      <c r="C83" s="2" t="s">
        <v>37</v>
      </c>
      <c r="D83" s="2" t="s">
        <v>211</v>
      </c>
      <c r="E83" s="2" t="s">
        <v>64</v>
      </c>
      <c r="F83" s="2" t="s">
        <v>16</v>
      </c>
      <c r="G83" s="2" t="s">
        <v>51</v>
      </c>
      <c r="H83" s="2" t="s">
        <v>41</v>
      </c>
      <c r="I83" s="2" t="s">
        <v>19</v>
      </c>
      <c r="J83" s="3">
        <v>46182</v>
      </c>
      <c r="K83" s="2" t="s">
        <v>66</v>
      </c>
    </row>
    <row r="84" spans="1:11">
      <c r="A84" s="2" t="s">
        <v>212</v>
      </c>
      <c r="B84" s="2" t="s">
        <v>47</v>
      </c>
      <c r="C84" s="2" t="s">
        <v>13</v>
      </c>
      <c r="D84" s="2" t="s">
        <v>213</v>
      </c>
      <c r="E84" s="2" t="s">
        <v>39</v>
      </c>
      <c r="F84" s="2" t="s">
        <v>69</v>
      </c>
      <c r="G84" s="2" t="s">
        <v>17</v>
      </c>
      <c r="H84" s="2" t="s">
        <v>27</v>
      </c>
      <c r="I84" s="2" t="s">
        <v>42</v>
      </c>
      <c r="J84" s="3">
        <v>46197</v>
      </c>
      <c r="K84" s="2" t="s">
        <v>43</v>
      </c>
    </row>
    <row r="85" spans="1:11">
      <c r="A85" s="2" t="s">
        <v>214</v>
      </c>
      <c r="B85" s="2" t="s">
        <v>22</v>
      </c>
      <c r="C85" s="2" t="s">
        <v>48</v>
      </c>
      <c r="D85" s="2" t="s">
        <v>215</v>
      </c>
      <c r="E85" s="2" t="s">
        <v>50</v>
      </c>
      <c r="F85" s="2" t="s">
        <v>69</v>
      </c>
      <c r="G85" s="2" t="s">
        <v>33</v>
      </c>
      <c r="H85" s="2" t="s">
        <v>34</v>
      </c>
      <c r="I85" s="2" t="s">
        <v>28</v>
      </c>
      <c r="J85" s="3">
        <v>46176</v>
      </c>
      <c r="K85" s="2" t="s">
        <v>52</v>
      </c>
    </row>
    <row r="86" spans="1:11">
      <c r="A86" s="2" t="s">
        <v>216</v>
      </c>
      <c r="B86" s="2" t="s">
        <v>75</v>
      </c>
      <c r="C86" s="2" t="s">
        <v>37</v>
      </c>
      <c r="D86" s="2" t="s">
        <v>217</v>
      </c>
      <c r="E86" s="2" t="s">
        <v>50</v>
      </c>
      <c r="F86" s="2" t="s">
        <v>32</v>
      </c>
      <c r="G86" s="2" t="s">
        <v>33</v>
      </c>
      <c r="H86" s="2" t="s">
        <v>34</v>
      </c>
      <c r="I86" s="2" t="s">
        <v>28</v>
      </c>
      <c r="J86" s="3">
        <v>46190</v>
      </c>
      <c r="K86" s="2" t="s">
        <v>52</v>
      </c>
    </row>
    <row r="87" spans="1:11">
      <c r="A87" s="2" t="s">
        <v>218</v>
      </c>
      <c r="B87" s="2" t="s">
        <v>75</v>
      </c>
      <c r="C87" s="2" t="s">
        <v>48</v>
      </c>
      <c r="D87" s="2" t="s">
        <v>219</v>
      </c>
      <c r="E87" s="2" t="s">
        <v>50</v>
      </c>
      <c r="F87" s="2" t="s">
        <v>16</v>
      </c>
      <c r="G87" s="2" t="s">
        <v>55</v>
      </c>
      <c r="H87" s="2" t="s">
        <v>41</v>
      </c>
      <c r="I87" s="2" t="s">
        <v>19</v>
      </c>
      <c r="J87" s="3">
        <v>46182</v>
      </c>
      <c r="K87" s="2" t="s">
        <v>52</v>
      </c>
    </row>
    <row r="88" spans="1:11">
      <c r="A88" s="2" t="s">
        <v>220</v>
      </c>
      <c r="B88" s="2" t="s">
        <v>47</v>
      </c>
      <c r="C88" s="2" t="s">
        <v>13</v>
      </c>
      <c r="D88" s="2" t="s">
        <v>221</v>
      </c>
      <c r="E88" s="2" t="s">
        <v>31</v>
      </c>
      <c r="F88" s="2" t="s">
        <v>32</v>
      </c>
      <c r="G88" s="2" t="s">
        <v>55</v>
      </c>
      <c r="H88" s="2" t="s">
        <v>18</v>
      </c>
      <c r="I88" s="2" t="s">
        <v>42</v>
      </c>
      <c r="J88" s="3">
        <v>46197</v>
      </c>
      <c r="K88" s="2" t="s">
        <v>35</v>
      </c>
    </row>
    <row r="89" spans="1:11" ht="27.6">
      <c r="A89" s="2" t="s">
        <v>222</v>
      </c>
      <c r="B89" s="2" t="s">
        <v>47</v>
      </c>
      <c r="C89" s="2" t="s">
        <v>13</v>
      </c>
      <c r="D89" s="2" t="s">
        <v>223</v>
      </c>
      <c r="E89" s="2" t="s">
        <v>64</v>
      </c>
      <c r="F89" s="2" t="s">
        <v>25</v>
      </c>
      <c r="G89" s="2" t="s">
        <v>17</v>
      </c>
      <c r="H89" s="2" t="s">
        <v>41</v>
      </c>
      <c r="I89" s="2" t="s">
        <v>42</v>
      </c>
      <c r="J89" s="3">
        <v>46185</v>
      </c>
      <c r="K89" s="2" t="s">
        <v>66</v>
      </c>
    </row>
    <row r="90" spans="1:11">
      <c r="A90" s="2" t="s">
        <v>224</v>
      </c>
      <c r="B90" s="2" t="s">
        <v>75</v>
      </c>
      <c r="C90" s="2" t="s">
        <v>23</v>
      </c>
      <c r="D90" s="2" t="s">
        <v>225</v>
      </c>
      <c r="E90" s="2" t="s">
        <v>31</v>
      </c>
      <c r="F90" s="2" t="s">
        <v>16</v>
      </c>
      <c r="G90" s="2" t="s">
        <v>40</v>
      </c>
      <c r="H90" s="2" t="s">
        <v>27</v>
      </c>
      <c r="I90" s="2" t="s">
        <v>28</v>
      </c>
      <c r="J90" s="3">
        <v>46183</v>
      </c>
      <c r="K90" s="2" t="s">
        <v>35</v>
      </c>
    </row>
    <row r="91" spans="1:11">
      <c r="A91" s="2" t="s">
        <v>226</v>
      </c>
      <c r="B91" s="2" t="s">
        <v>47</v>
      </c>
      <c r="C91" s="2" t="s">
        <v>23</v>
      </c>
      <c r="D91" s="2" t="s">
        <v>227</v>
      </c>
      <c r="E91" s="2" t="s">
        <v>15</v>
      </c>
      <c r="F91" s="2" t="s">
        <v>16</v>
      </c>
      <c r="G91" s="2" t="s">
        <v>51</v>
      </c>
      <c r="H91" s="2" t="s">
        <v>41</v>
      </c>
      <c r="I91" s="2" t="s">
        <v>28</v>
      </c>
      <c r="J91" s="3">
        <v>46189</v>
      </c>
      <c r="K91" s="2" t="s">
        <v>20</v>
      </c>
    </row>
  </sheetData>
  <conditionalFormatting sqref="A2:K91">
    <cfRule type="expression" dxfId="7" priority="4">
      <formula>$F2="Critical"</formula>
    </cfRule>
    <cfRule type="expression" dxfId="6" priority="3">
      <formula>$F2="High"</formula>
    </cfRule>
    <cfRule type="expression" dxfId="5" priority="2">
      <formula>$F2="Medium"</formula>
    </cfRule>
    <cfRule type="expression" dxfId="4" priority="1">
      <formula>$F2="Low"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#REF!</xm:f>
          </x14:formula1>
          <xm:sqref>E2:E91</xm:sqref>
        </x14:dataValidation>
        <x14:dataValidation type="list" xr:uid="{00000000-0002-0000-0000-000001000000}">
          <x14:formula1>
            <xm:f>#REF!</xm:f>
          </x14:formula1>
          <xm:sqref>F2:F91</xm:sqref>
        </x14:dataValidation>
        <x14:dataValidation type="list" xr:uid="{00000000-0002-0000-0000-000002000000}">
          <x14:formula1>
            <xm:f>#REF!</xm:f>
          </x14:formula1>
          <xm:sqref>I2:I91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I17" sqref="I17"/>
    </sheetView>
  </sheetViews>
  <sheetFormatPr defaultRowHeight="13.8"/>
  <cols>
    <col min="1" max="8" width="18" customWidth="1"/>
  </cols>
  <sheetData>
    <row r="1" spans="1:8" ht="27.15" customHeight="1">
      <c r="A1" s="9" t="s">
        <v>228</v>
      </c>
      <c r="B1" s="9"/>
      <c r="C1" s="9"/>
      <c r="D1" s="9"/>
      <c r="E1" s="9"/>
      <c r="F1" s="9"/>
      <c r="G1" s="9"/>
      <c r="H1" s="9"/>
    </row>
    <row r="2" spans="1:8">
      <c r="A2" s="2"/>
      <c r="B2" s="2"/>
      <c r="C2" s="2"/>
      <c r="D2" s="2"/>
      <c r="E2" s="2"/>
      <c r="F2" s="2"/>
      <c r="G2" s="2"/>
      <c r="H2" s="2"/>
    </row>
    <row r="3" spans="1:8" ht="17.399999999999999">
      <c r="A3" s="4" t="s">
        <v>229</v>
      </c>
      <c r="B3" s="5">
        <f>COUNTA(Report_Data!A2:A91)</f>
        <v>90</v>
      </c>
      <c r="C3" s="2"/>
      <c r="D3" s="2"/>
      <c r="E3" s="2"/>
      <c r="F3" s="2"/>
      <c r="G3" s="2"/>
      <c r="H3" s="2"/>
    </row>
    <row r="4" spans="1:8" ht="17.399999999999999">
      <c r="A4" s="4" t="s">
        <v>230</v>
      </c>
      <c r="B4" s="5">
        <f>COUNTIF(Report_Data!I2:I91,"Open")</f>
        <v>40</v>
      </c>
      <c r="C4" s="2"/>
      <c r="D4" s="2"/>
      <c r="E4" s="2"/>
      <c r="F4" s="2"/>
      <c r="G4" s="2"/>
      <c r="H4" s="2"/>
    </row>
    <row r="5" spans="1:8" ht="17.399999999999999">
      <c r="A5" s="4" t="s">
        <v>231</v>
      </c>
      <c r="B5" s="5">
        <f>COUNTIF(Report_Data!I2:I91,"In Progress")</f>
        <v>25</v>
      </c>
      <c r="C5" s="2"/>
      <c r="D5" s="2"/>
      <c r="E5" s="2"/>
      <c r="F5" s="2"/>
      <c r="G5" s="2"/>
      <c r="H5" s="2"/>
    </row>
    <row r="6" spans="1:8" ht="17.399999999999999">
      <c r="A6" s="4" t="s">
        <v>19</v>
      </c>
      <c r="B6" s="5">
        <f>COUNTIF(Report_Data!I2:I91,"Resolved")</f>
        <v>25</v>
      </c>
      <c r="C6" s="2"/>
      <c r="D6" s="2"/>
      <c r="E6" s="2"/>
      <c r="F6" s="2"/>
      <c r="G6" s="2"/>
      <c r="H6" s="2"/>
    </row>
    <row r="7" spans="1:8" ht="28.2">
      <c r="A7" s="4" t="s">
        <v>232</v>
      </c>
      <c r="B7" s="5">
        <f>COUNTIFS(Report_Data!I2:I91,"Open",Report_Data!F2:F91,"Critical")+COUNTIFS(Report_Data!I2:I91,"Open",Report_Data!F2:F91,"High")</f>
        <v>19</v>
      </c>
      <c r="C7" s="2"/>
      <c r="D7" s="2"/>
      <c r="E7" s="2"/>
      <c r="F7" s="2"/>
      <c r="G7" s="2"/>
      <c r="H7" s="2"/>
    </row>
    <row r="8" spans="1:8" ht="28.2">
      <c r="A8" s="4" t="s">
        <v>233</v>
      </c>
      <c r="B8" s="5">
        <f ca="1">COUNTA(_xludf.UNIQUE(Report_Data!G2:G91))</f>
        <v>1</v>
      </c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10" t="s">
        <v>234</v>
      </c>
      <c r="B10" s="10"/>
      <c r="C10" s="10"/>
      <c r="D10" s="2"/>
      <c r="E10" s="2"/>
      <c r="F10" s="2"/>
      <c r="G10" s="2"/>
      <c r="H10" s="2"/>
    </row>
    <row r="11" spans="1:8">
      <c r="A11" s="1" t="s">
        <v>4</v>
      </c>
      <c r="B11" s="1" t="s">
        <v>235</v>
      </c>
      <c r="C11" s="1" t="s">
        <v>236</v>
      </c>
      <c r="D11" s="2"/>
      <c r="E11" s="2"/>
      <c r="F11" s="2"/>
      <c r="G11" s="2"/>
      <c r="H11" s="2"/>
    </row>
    <row r="12" spans="1:8">
      <c r="A12" s="2" t="s">
        <v>31</v>
      </c>
      <c r="B12" s="2">
        <f>COUNTIF(Report_Data!$E$2:$E$91,A12)</f>
        <v>19</v>
      </c>
      <c r="C12" s="6">
        <f>B12/$B$3</f>
        <v>0.21111111111111111</v>
      </c>
      <c r="D12" s="2"/>
      <c r="E12" s="2"/>
      <c r="F12" s="2"/>
      <c r="G12" s="2"/>
      <c r="H12" s="2"/>
    </row>
    <row r="13" spans="1:8">
      <c r="A13" s="2" t="s">
        <v>50</v>
      </c>
      <c r="B13" s="2">
        <f>COUNTIF(Report_Data!$E$2:$E$91,A13)</f>
        <v>20</v>
      </c>
      <c r="C13" s="6">
        <f>B13/$B$3</f>
        <v>0.22222222222222221</v>
      </c>
      <c r="D13" s="2"/>
      <c r="E13" s="2"/>
      <c r="F13" s="2"/>
      <c r="G13" s="2"/>
      <c r="H13" s="2"/>
    </row>
    <row r="14" spans="1:8" ht="27.6">
      <c r="A14" s="2" t="s">
        <v>64</v>
      </c>
      <c r="B14" s="2">
        <f>COUNTIF(Report_Data!$E$2:$E$91,A14)</f>
        <v>15</v>
      </c>
      <c r="C14" s="6">
        <f>B14/$B$3</f>
        <v>0.16666666666666666</v>
      </c>
      <c r="D14" s="2"/>
      <c r="E14" s="2"/>
      <c r="F14" s="2"/>
      <c r="G14" s="2"/>
      <c r="H14" s="2"/>
    </row>
    <row r="15" spans="1:8">
      <c r="A15" s="2" t="s">
        <v>15</v>
      </c>
      <c r="B15" s="2">
        <f>COUNTIF(Report_Data!$E$2:$E$91,A15)</f>
        <v>14</v>
      </c>
      <c r="C15" s="6">
        <f>B15/$B$3</f>
        <v>0.15555555555555556</v>
      </c>
      <c r="D15" s="2"/>
      <c r="E15" s="2"/>
      <c r="F15" s="2"/>
      <c r="G15" s="2"/>
      <c r="H15" s="2"/>
    </row>
    <row r="16" spans="1:8">
      <c r="A16" s="2" t="s">
        <v>39</v>
      </c>
      <c r="B16" s="2">
        <f>COUNTIF(Report_Data!$E$2:$E$91,A16)</f>
        <v>22</v>
      </c>
      <c r="C16" s="6">
        <f>B16/$B$3</f>
        <v>0.24444444444444444</v>
      </c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10" t="s">
        <v>237</v>
      </c>
      <c r="B19" s="10"/>
      <c r="C19" s="2"/>
      <c r="D19" s="10" t="s">
        <v>238</v>
      </c>
      <c r="E19" s="10"/>
      <c r="F19" s="2"/>
      <c r="G19" s="2"/>
      <c r="H19" s="2"/>
    </row>
    <row r="20" spans="1:8">
      <c r="A20" s="1" t="s">
        <v>8</v>
      </c>
      <c r="B20" s="1" t="s">
        <v>235</v>
      </c>
      <c r="C20" s="2"/>
      <c r="D20" s="1" t="s">
        <v>5</v>
      </c>
      <c r="E20" s="1" t="s">
        <v>235</v>
      </c>
      <c r="F20" s="2"/>
      <c r="G20" s="2"/>
      <c r="H20" s="2"/>
    </row>
    <row r="21" spans="1:8">
      <c r="A21" s="2" t="s">
        <v>28</v>
      </c>
      <c r="B21" s="2">
        <f>COUNTIF(Report_Data!$I$2:$I$91,A21)</f>
        <v>40</v>
      </c>
      <c r="C21" s="2"/>
      <c r="D21" s="2" t="s">
        <v>25</v>
      </c>
      <c r="E21" s="2">
        <f>COUNTIF(Report_Data!$F$2:$F$91,D21)</f>
        <v>8</v>
      </c>
      <c r="F21" s="2"/>
      <c r="G21" s="2"/>
      <c r="H21" s="2"/>
    </row>
    <row r="22" spans="1:8">
      <c r="A22" s="2" t="s">
        <v>42</v>
      </c>
      <c r="B22" s="2">
        <f>COUNTIF(Report_Data!$I$2:$I$91,A22)</f>
        <v>25</v>
      </c>
      <c r="C22" s="2"/>
      <c r="D22" s="2" t="s">
        <v>16</v>
      </c>
      <c r="E22" s="2">
        <f>COUNTIF(Report_Data!$F$2:$F$91,D22)</f>
        <v>24</v>
      </c>
      <c r="F22" s="2"/>
      <c r="G22" s="2"/>
      <c r="H22" s="2"/>
    </row>
    <row r="23" spans="1:8">
      <c r="A23" s="2" t="s">
        <v>19</v>
      </c>
      <c r="B23" s="2">
        <f>COUNTIF(Report_Data!$I$2:$I$91,A23)</f>
        <v>25</v>
      </c>
      <c r="C23" s="2"/>
      <c r="D23" s="2" t="s">
        <v>32</v>
      </c>
      <c r="E23" s="2">
        <f>COUNTIF(Report_Data!$F$2:$F$91,D23)</f>
        <v>37</v>
      </c>
      <c r="F23" s="2"/>
      <c r="G23" s="2"/>
      <c r="H23" s="2"/>
    </row>
    <row r="24" spans="1:8">
      <c r="A24" s="2"/>
      <c r="B24" s="2"/>
      <c r="C24" s="2"/>
      <c r="D24" s="2" t="s">
        <v>69</v>
      </c>
      <c r="E24" s="2">
        <f>COUNTIF(Report_Data!$F$2:$F$91,D24)</f>
        <v>21</v>
      </c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</sheetData>
  <mergeCells count="4">
    <mergeCell ref="A1:H1"/>
    <mergeCell ref="A10:C10"/>
    <mergeCell ref="A19:B19"/>
    <mergeCell ref="D19:E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K16" sqref="K16"/>
    </sheetView>
  </sheetViews>
  <sheetFormatPr defaultRowHeight="13.8"/>
  <cols>
    <col min="1" max="7" width="18" customWidth="1"/>
  </cols>
  <sheetData>
    <row r="1" spans="1:8" ht="21">
      <c r="A1" s="9" t="s">
        <v>239</v>
      </c>
      <c r="B1" s="9"/>
      <c r="C1" s="9"/>
      <c r="D1" s="9"/>
      <c r="E1" s="9"/>
      <c r="F1" s="9"/>
      <c r="G1" s="9"/>
      <c r="H1" s="11"/>
    </row>
    <row r="2" spans="1:8">
      <c r="A2" s="2"/>
      <c r="B2" s="2"/>
      <c r="C2" s="2"/>
      <c r="D2" s="2"/>
      <c r="E2" s="2"/>
      <c r="F2" s="2"/>
      <c r="G2" s="2"/>
    </row>
    <row r="3" spans="1:8">
      <c r="A3" s="1" t="s">
        <v>4</v>
      </c>
      <c r="B3" s="1" t="s">
        <v>25</v>
      </c>
      <c r="C3" s="1" t="s">
        <v>16</v>
      </c>
      <c r="D3" s="1" t="s">
        <v>32</v>
      </c>
      <c r="E3" s="1" t="s">
        <v>69</v>
      </c>
      <c r="F3" s="1" t="s">
        <v>240</v>
      </c>
      <c r="G3" s="1" t="s">
        <v>236</v>
      </c>
    </row>
    <row r="4" spans="1:8">
      <c r="A4" s="2" t="s">
        <v>31</v>
      </c>
      <c r="B4" s="2">
        <f>COUNTIFS(Report_Data!$E$2:$E$91,A4,Report_Data!$F$2:$F$91,B$3)</f>
        <v>0</v>
      </c>
      <c r="C4" s="2">
        <f>COUNTIFS(Report_Data!$E$2:$E$91,A4,Report_Data!$F$2:$F$91,C$3)</f>
        <v>7</v>
      </c>
      <c r="D4" s="2">
        <f>COUNTIFS(Report_Data!$E$2:$E$91,A4,Report_Data!$F$2:$F$91,D$3)</f>
        <v>8</v>
      </c>
      <c r="E4" s="2">
        <f>COUNTIFS(Report_Data!$E$2:$E$91,A4,Report_Data!$F$2:$F$91,E$3)</f>
        <v>4</v>
      </c>
      <c r="F4" s="2">
        <f>SUM(B4:E4)</f>
        <v>19</v>
      </c>
      <c r="G4" s="6">
        <f>F4/$F$9</f>
        <v>0.21111111111111111</v>
      </c>
    </row>
    <row r="5" spans="1:8">
      <c r="A5" s="2" t="s">
        <v>50</v>
      </c>
      <c r="B5" s="2">
        <f>COUNTIFS(Report_Data!$E$2:$E$91,A5,Report_Data!$F$2:$F$91,B$3)</f>
        <v>0</v>
      </c>
      <c r="C5" s="2">
        <f>COUNTIFS(Report_Data!$E$2:$E$91,A5,Report_Data!$F$2:$F$91,C$3)</f>
        <v>4</v>
      </c>
      <c r="D5" s="2">
        <f>COUNTIFS(Report_Data!$E$2:$E$91,A5,Report_Data!$F$2:$F$91,D$3)</f>
        <v>6</v>
      </c>
      <c r="E5" s="2">
        <f>COUNTIFS(Report_Data!$E$2:$E$91,A5,Report_Data!$F$2:$F$91,E$3)</f>
        <v>10</v>
      </c>
      <c r="F5" s="2">
        <f>SUM(B5:E5)</f>
        <v>20</v>
      </c>
      <c r="G5" s="6">
        <f>F5/$F$9</f>
        <v>0.22222222222222221</v>
      </c>
    </row>
    <row r="6" spans="1:8" ht="27.6">
      <c r="A6" s="2" t="s">
        <v>64</v>
      </c>
      <c r="B6" s="2">
        <f>COUNTIFS(Report_Data!$E$2:$E$91,A6,Report_Data!$F$2:$F$91,B$3)</f>
        <v>5</v>
      </c>
      <c r="C6" s="2">
        <f>COUNTIFS(Report_Data!$E$2:$E$91,A6,Report_Data!$F$2:$F$91,C$3)</f>
        <v>7</v>
      </c>
      <c r="D6" s="2">
        <f>COUNTIFS(Report_Data!$E$2:$E$91,A6,Report_Data!$F$2:$F$91,D$3)</f>
        <v>3</v>
      </c>
      <c r="E6" s="2">
        <f>COUNTIFS(Report_Data!$E$2:$E$91,A6,Report_Data!$F$2:$F$91,E$3)</f>
        <v>0</v>
      </c>
      <c r="F6" s="2">
        <f>SUM(B6:E6)</f>
        <v>15</v>
      </c>
      <c r="G6" s="6">
        <f>F6/$F$9</f>
        <v>0.16666666666666666</v>
      </c>
    </row>
    <row r="7" spans="1:8">
      <c r="A7" s="2" t="s">
        <v>15</v>
      </c>
      <c r="B7" s="2">
        <f>COUNTIFS(Report_Data!$E$2:$E$91,A7,Report_Data!$F$2:$F$91,B$3)</f>
        <v>3</v>
      </c>
      <c r="C7" s="2">
        <f>COUNTIFS(Report_Data!$E$2:$E$91,A7,Report_Data!$F$2:$F$91,C$3)</f>
        <v>6</v>
      </c>
      <c r="D7" s="2">
        <f>COUNTIFS(Report_Data!$E$2:$E$91,A7,Report_Data!$F$2:$F$91,D$3)</f>
        <v>5</v>
      </c>
      <c r="E7" s="2">
        <f>COUNTIFS(Report_Data!$E$2:$E$91,A7,Report_Data!$F$2:$F$91,E$3)</f>
        <v>0</v>
      </c>
      <c r="F7" s="2">
        <f>SUM(B7:E7)</f>
        <v>14</v>
      </c>
      <c r="G7" s="6">
        <f>F7/$F$9</f>
        <v>0.15555555555555556</v>
      </c>
    </row>
    <row r="8" spans="1:8">
      <c r="A8" s="2" t="s">
        <v>39</v>
      </c>
      <c r="B8" s="2">
        <f>COUNTIFS(Report_Data!$E$2:$E$91,A8,Report_Data!$F$2:$F$91,B$3)</f>
        <v>0</v>
      </c>
      <c r="C8" s="2">
        <f>COUNTIFS(Report_Data!$E$2:$E$91,A8,Report_Data!$F$2:$F$91,C$3)</f>
        <v>0</v>
      </c>
      <c r="D8" s="2">
        <f>COUNTIFS(Report_Data!$E$2:$E$91,A8,Report_Data!$F$2:$F$91,D$3)</f>
        <v>15</v>
      </c>
      <c r="E8" s="2">
        <f>COUNTIFS(Report_Data!$E$2:$E$91,A8,Report_Data!$F$2:$F$91,E$3)</f>
        <v>7</v>
      </c>
      <c r="F8" s="2">
        <f>SUM(B8:E8)</f>
        <v>22</v>
      </c>
      <c r="G8" s="6">
        <f>F8/$F$9</f>
        <v>0.24444444444444444</v>
      </c>
    </row>
    <row r="9" spans="1:8">
      <c r="A9" s="7" t="s">
        <v>240</v>
      </c>
      <c r="B9" s="7">
        <f>SUM(B4:B8)</f>
        <v>8</v>
      </c>
      <c r="C9" s="7">
        <f>SUM(C4:C8)</f>
        <v>24</v>
      </c>
      <c r="D9" s="7">
        <f>SUM(D4:D8)</f>
        <v>37</v>
      </c>
      <c r="E9" s="7">
        <f>SUM(E4:E8)</f>
        <v>21</v>
      </c>
      <c r="F9" s="7">
        <f>SUM(F4:F8)</f>
        <v>90</v>
      </c>
      <c r="G9" s="8">
        <f>1</f>
        <v>1</v>
      </c>
    </row>
    <row r="10" spans="1:8">
      <c r="A10" s="2"/>
      <c r="B10" s="2"/>
      <c r="C10" s="2"/>
      <c r="D10" s="2"/>
      <c r="E10" s="2"/>
      <c r="F10" s="2"/>
      <c r="G10" s="2"/>
    </row>
    <row r="11" spans="1:8">
      <c r="A11" s="2"/>
      <c r="B11" s="2"/>
      <c r="C11" s="2"/>
      <c r="D11" s="2"/>
      <c r="E11" s="2"/>
      <c r="F11" s="2"/>
      <c r="G11" s="2"/>
    </row>
    <row r="12" spans="1:8">
      <c r="A12" s="2"/>
      <c r="B12" s="2"/>
      <c r="C12" s="2"/>
      <c r="D12" s="2"/>
      <c r="E12" s="2"/>
      <c r="F12" s="2"/>
      <c r="G12" s="2"/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7"/>
  <sheetViews>
    <sheetView tabSelected="1" workbookViewId="0">
      <selection activeCell="B3" sqref="B3"/>
    </sheetView>
  </sheetViews>
  <sheetFormatPr defaultRowHeight="13.8"/>
  <cols>
    <col min="1" max="3" width="16" customWidth="1"/>
    <col min="4" max="4" width="42" customWidth="1"/>
    <col min="5" max="5" width="22" customWidth="1"/>
    <col min="6" max="6" width="12" customWidth="1"/>
    <col min="7" max="8" width="18" customWidth="1"/>
    <col min="9" max="10" width="14" customWidth="1"/>
    <col min="11" max="11" width="40" customWidth="1"/>
  </cols>
  <sheetData>
    <row r="1" spans="1:11" ht="21">
      <c r="A1" s="11" t="s">
        <v>241</v>
      </c>
      <c r="B1" s="11"/>
      <c r="C1" s="11"/>
      <c r="D1" s="11"/>
      <c r="E1" s="11"/>
      <c r="F1" s="11"/>
      <c r="G1" s="11"/>
      <c r="H1" s="11"/>
      <c r="I1" s="11"/>
      <c r="J1" s="11"/>
      <c r="K1" s="11"/>
    </row>
    <row r="3" spans="1:11">
      <c r="A3" s="4" t="s">
        <v>242</v>
      </c>
      <c r="B3" t="s">
        <v>243</v>
      </c>
      <c r="D3" s="12" t="s">
        <v>244</v>
      </c>
      <c r="E3" s="12"/>
      <c r="F3" s="12"/>
      <c r="G3" s="12"/>
      <c r="H3" s="12"/>
      <c r="I3" s="12"/>
      <c r="J3" s="12"/>
      <c r="K3" s="12"/>
    </row>
    <row r="4" spans="1:11">
      <c r="A4" s="4" t="s">
        <v>8</v>
      </c>
      <c r="B4" t="s">
        <v>243</v>
      </c>
      <c r="D4" s="12"/>
      <c r="E4" s="12"/>
      <c r="F4" s="12"/>
      <c r="G4" s="12"/>
      <c r="H4" s="12"/>
      <c r="I4" s="12"/>
      <c r="J4" s="12"/>
      <c r="K4" s="12"/>
    </row>
    <row r="5" spans="1:11">
      <c r="A5" s="4" t="s">
        <v>5</v>
      </c>
      <c r="B5" t="s">
        <v>243</v>
      </c>
      <c r="D5" s="12"/>
      <c r="E5" s="12"/>
      <c r="F5" s="12"/>
      <c r="G5" s="12"/>
      <c r="H5" s="12"/>
      <c r="I5" s="12"/>
      <c r="J5" s="12"/>
      <c r="K5" s="12"/>
    </row>
    <row r="7" spans="1:11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10</v>
      </c>
    </row>
    <row r="8" spans="1:11">
      <c r="A8" s="2" t="str" cm="1">
        <f t="array" ref="A8:K97">_xlfn._xlws.FILTER(Report_Data!A2:K91,((Report_Data!E2:E91=$B$3)+($B$3="All"))*((Report_Data!I2:I91=$B$4)+($B$4="All"))*((Report_Data!F2:F91=$B$5)+($B$5="All")),"No matching errors")</f>
        <v>VAL-0001</v>
      </c>
      <c r="B8" s="2" t="str">
        <v>Batch_02</v>
      </c>
      <c r="C8" s="2" t="str">
        <v>DAM</v>
      </c>
      <c r="D8" s="2" t="str">
        <v>https://example.com/gallery/page-001</v>
      </c>
      <c r="E8" s="2" t="str">
        <v>INVALID_LAYOUT</v>
      </c>
      <c r="F8" s="2" t="str">
        <v>High</v>
      </c>
      <c r="G8" s="2" t="str">
        <v>Gallery</v>
      </c>
      <c r="H8" s="2" t="str">
        <v>Frontend Team</v>
      </c>
      <c r="I8" s="2" t="str">
        <v>Resolved</v>
      </c>
      <c r="J8" s="2">
        <v>46177</v>
      </c>
      <c r="K8" s="2" t="str">
        <v>Page layout differs from the approved template.</v>
      </c>
    </row>
    <row r="9" spans="1:11">
      <c r="A9" s="2" t="str">
        <v>VAL-0002</v>
      </c>
      <c r="B9" s="2" t="str">
        <v>Batch_04</v>
      </c>
      <c r="C9" s="2" t="str">
        <v>Legacy_CMS</v>
      </c>
      <c r="D9" s="2" t="str">
        <v>https://example.com/article-page/page-002</v>
      </c>
      <c r="E9" s="2" t="str">
        <v>INVALID_LAYOUT</v>
      </c>
      <c r="F9" s="2" t="str">
        <v>Critical</v>
      </c>
      <c r="G9" s="2" t="str">
        <v>Article Page</v>
      </c>
      <c r="H9" s="2" t="str">
        <v>Content Team</v>
      </c>
      <c r="I9" s="2" t="str">
        <v>Open</v>
      </c>
      <c r="J9" s="2">
        <v>46180</v>
      </c>
      <c r="K9" s="2" t="str">
        <v>Page layout differs from the approved template.</v>
      </c>
    </row>
    <row r="10" spans="1:11">
      <c r="A10" s="2" t="str">
        <v>VAL-0003</v>
      </c>
      <c r="B10" s="2" t="str">
        <v>Batch_04</v>
      </c>
      <c r="C10" s="2" t="str">
        <v>DAM</v>
      </c>
      <c r="D10" s="2" t="str">
        <v>https://example.com/downloads/page-003</v>
      </c>
      <c r="E10" s="2" t="str">
        <v>BROKEN_LINK</v>
      </c>
      <c r="F10" s="2" t="str">
        <v>Medium</v>
      </c>
      <c r="G10" s="2" t="str">
        <v>Downloads</v>
      </c>
      <c r="H10" s="2" t="str">
        <v>QA Team</v>
      </c>
      <c r="I10" s="2" t="str">
        <v>Open</v>
      </c>
      <c r="J10" s="2">
        <v>46182</v>
      </c>
      <c r="K10" s="2" t="str">
        <v>Link returns 404 or redirects to an old page.</v>
      </c>
    </row>
    <row r="11" spans="1:11">
      <c r="A11" s="2" t="str">
        <v>VAL-0004</v>
      </c>
      <c r="B11" s="2" t="str">
        <v>Batch_04</v>
      </c>
      <c r="C11" s="2" t="str">
        <v>SharePoint</v>
      </c>
      <c r="D11" s="2" t="str">
        <v>https://example.com/product-page/page-004</v>
      </c>
      <c r="E11" s="2" t="str">
        <v>EMPTY_TITLE</v>
      </c>
      <c r="F11" s="2" t="str">
        <v>Medium</v>
      </c>
      <c r="G11" s="2" t="str">
        <v>Product Page</v>
      </c>
      <c r="H11" s="2" t="str">
        <v>Migration Team</v>
      </c>
      <c r="I11" s="2" t="str">
        <v>In Progress</v>
      </c>
      <c r="J11" s="2">
        <v>46180</v>
      </c>
      <c r="K11" s="2" t="str">
        <v>Title field is empty or not migrated.</v>
      </c>
    </row>
    <row r="12" spans="1:11">
      <c r="A12" s="2" t="str">
        <v>VAL-0005</v>
      </c>
      <c r="B12" s="2" t="str">
        <v>Batch_04</v>
      </c>
      <c r="C12" s="2" t="str">
        <v>Legacy_CMS</v>
      </c>
      <c r="D12" s="2" t="str">
        <v>https://example.com/article-page/page-005</v>
      </c>
      <c r="E12" s="2" t="str">
        <v>EMPTY_TITLE</v>
      </c>
      <c r="F12" s="2" t="str">
        <v>Medium</v>
      </c>
      <c r="G12" s="2" t="str">
        <v>Article Page</v>
      </c>
      <c r="H12" s="2" t="str">
        <v>Migration Team</v>
      </c>
      <c r="I12" s="2" t="str">
        <v>Resolved</v>
      </c>
      <c r="J12" s="2">
        <v>46193</v>
      </c>
      <c r="K12" s="2" t="str">
        <v>Title field is empty or not migrated.</v>
      </c>
    </row>
    <row r="13" spans="1:11">
      <c r="A13" s="2" t="str">
        <v>VAL-0006</v>
      </c>
      <c r="B13" s="2" t="str">
        <v>Batch_01</v>
      </c>
      <c r="C13" s="2" t="str">
        <v>Media_Library</v>
      </c>
      <c r="D13" s="2" t="str">
        <v>https://example.com/contact-page/page-006</v>
      </c>
      <c r="E13" s="2" t="str">
        <v>MISSING_IMAGE</v>
      </c>
      <c r="F13" s="2" t="str">
        <v>Medium</v>
      </c>
      <c r="G13" s="2" t="str">
        <v>Contact Page</v>
      </c>
      <c r="H13" s="2" t="str">
        <v>Content Team</v>
      </c>
      <c r="I13" s="2" t="str">
        <v>Open</v>
      </c>
      <c r="J13" s="2">
        <v>46183</v>
      </c>
      <c r="K13" s="2" t="str">
        <v>Image asset is not available after migration.</v>
      </c>
    </row>
    <row r="14" spans="1:11">
      <c r="A14" s="2" t="str">
        <v>VAL-0007</v>
      </c>
      <c r="B14" s="2" t="str">
        <v>Batch_02</v>
      </c>
      <c r="C14" s="2" t="str">
        <v>Legacy_CMS</v>
      </c>
      <c r="D14" s="2" t="str">
        <v>https://example.com/search/page-007</v>
      </c>
      <c r="E14" s="2" t="str">
        <v>EMPTY_TITLE</v>
      </c>
      <c r="F14" s="2" t="str">
        <v>Medium</v>
      </c>
      <c r="G14" s="2" t="str">
        <v>Search</v>
      </c>
      <c r="H14" s="2" t="str">
        <v>Content Team</v>
      </c>
      <c r="I14" s="2" t="str">
        <v>Resolved</v>
      </c>
      <c r="J14" s="2">
        <v>46181</v>
      </c>
      <c r="K14" s="2" t="str">
        <v>Title field is empty or not migrated.</v>
      </c>
    </row>
    <row r="15" spans="1:11">
      <c r="A15" s="2" t="str">
        <v>VAL-0008</v>
      </c>
      <c r="B15" s="2" t="str">
        <v>Batch_01</v>
      </c>
      <c r="C15" s="2" t="str">
        <v>Media_Library</v>
      </c>
      <c r="D15" s="2" t="str">
        <v>https://example.com/downloads/page-008</v>
      </c>
      <c r="E15" s="2" t="str">
        <v>INVALID_LAYOUT</v>
      </c>
      <c r="F15" s="2" t="str">
        <v>Critical</v>
      </c>
      <c r="G15" s="2" t="str">
        <v>Downloads</v>
      </c>
      <c r="H15" s="2" t="str">
        <v>Migration Team</v>
      </c>
      <c r="I15" s="2" t="str">
        <v>Open</v>
      </c>
      <c r="J15" s="2">
        <v>46194</v>
      </c>
      <c r="K15" s="2" t="str">
        <v>Page layout differs from the approved template.</v>
      </c>
    </row>
    <row r="16" spans="1:11">
      <c r="A16" s="2" t="str">
        <v>VAL-0009</v>
      </c>
      <c r="B16" s="2" t="str">
        <v>Batch_02</v>
      </c>
      <c r="C16" s="2" t="str">
        <v>SharePoint</v>
      </c>
      <c r="D16" s="2" t="str">
        <v>https://example.com/search/page-009</v>
      </c>
      <c r="E16" s="2" t="str">
        <v>EMPTY_TITLE</v>
      </c>
      <c r="F16" s="2" t="str">
        <v>Medium</v>
      </c>
      <c r="G16" s="2" t="str">
        <v>Search</v>
      </c>
      <c r="H16" s="2" t="str">
        <v>Content Team</v>
      </c>
      <c r="I16" s="2" t="str">
        <v>Open</v>
      </c>
      <c r="J16" s="2">
        <v>46194</v>
      </c>
      <c r="K16" s="2" t="str">
        <v>Title field is empty or not migrated.</v>
      </c>
    </row>
    <row r="17" spans="1:11">
      <c r="A17" s="2" t="str">
        <v>VAL-0010</v>
      </c>
      <c r="B17" s="2" t="str">
        <v>Batch_04</v>
      </c>
      <c r="C17" s="2" t="str">
        <v>Media_Library</v>
      </c>
      <c r="D17" s="2" t="str">
        <v>https://example.com/product-page/page-010</v>
      </c>
      <c r="E17" s="2" t="str">
        <v>BROKEN_LINK</v>
      </c>
      <c r="F17" s="2" t="str">
        <v>Medium</v>
      </c>
      <c r="G17" s="2" t="str">
        <v>Product Page</v>
      </c>
      <c r="H17" s="2" t="str">
        <v>Migration Team</v>
      </c>
      <c r="I17" s="2" t="str">
        <v>Resolved</v>
      </c>
      <c r="J17" s="2">
        <v>46196</v>
      </c>
      <c r="K17" s="2" t="str">
        <v>Link returns 404 or redirects to an old page.</v>
      </c>
    </row>
    <row r="18" spans="1:11" ht="27.6">
      <c r="A18" s="2" t="str">
        <v>VAL-0011</v>
      </c>
      <c r="B18" s="2" t="str">
        <v>Batch_02</v>
      </c>
      <c r="C18" s="2" t="str">
        <v>Legacy_CMS</v>
      </c>
      <c r="D18" s="2" t="str">
        <v>https://example.com/homepage/page-011</v>
      </c>
      <c r="E18" s="2" t="str">
        <v>MISSING_ATTACHMENT</v>
      </c>
      <c r="F18" s="2" t="str">
        <v>Critical</v>
      </c>
      <c r="G18" s="2" t="str">
        <v>Homepage</v>
      </c>
      <c r="H18" s="2" t="str">
        <v>Migration Team</v>
      </c>
      <c r="I18" s="2" t="str">
        <v>Open</v>
      </c>
      <c r="J18" s="2">
        <v>46182</v>
      </c>
      <c r="K18" s="2" t="str">
        <v>Attachment exists in source but not in target system.</v>
      </c>
    </row>
    <row r="19" spans="1:11">
      <c r="A19" s="2" t="str">
        <v>VAL-0012</v>
      </c>
      <c r="B19" s="2" t="str">
        <v>Batch_02</v>
      </c>
      <c r="C19" s="2" t="str">
        <v>Media_Library</v>
      </c>
      <c r="D19" s="2" t="str">
        <v>https://example.com/search/page-012</v>
      </c>
      <c r="E19" s="2" t="str">
        <v>BROKEN_LINK</v>
      </c>
      <c r="F19" s="2" t="str">
        <v>Low</v>
      </c>
      <c r="G19" s="2" t="str">
        <v>Search</v>
      </c>
      <c r="H19" s="2" t="str">
        <v>QA Team</v>
      </c>
      <c r="I19" s="2" t="str">
        <v>Resolved</v>
      </c>
      <c r="J19" s="2">
        <v>46188</v>
      </c>
      <c r="K19" s="2" t="str">
        <v>Link returns 404 or redirects to an old page.</v>
      </c>
    </row>
    <row r="20" spans="1:11">
      <c r="A20" s="2" t="str">
        <v>VAL-0013</v>
      </c>
      <c r="B20" s="2" t="str">
        <v>Batch_04</v>
      </c>
      <c r="C20" s="2" t="str">
        <v>Media_Library</v>
      </c>
      <c r="D20" s="2" t="str">
        <v>https://example.com/gallery/page-013</v>
      </c>
      <c r="E20" s="2" t="str">
        <v>BROKEN_LINK</v>
      </c>
      <c r="F20" s="2" t="str">
        <v>High</v>
      </c>
      <c r="G20" s="2" t="str">
        <v>Gallery</v>
      </c>
      <c r="H20" s="2" t="str">
        <v>Migration Team</v>
      </c>
      <c r="I20" s="2" t="str">
        <v>In Progress</v>
      </c>
      <c r="J20" s="2">
        <v>46178</v>
      </c>
      <c r="K20" s="2" t="str">
        <v>Link returns 404 or redirects to an old page.</v>
      </c>
    </row>
    <row r="21" spans="1:11" ht="27.6">
      <c r="A21" s="2" t="str">
        <v>VAL-0014</v>
      </c>
      <c r="B21" s="2" t="str">
        <v>Batch_01</v>
      </c>
      <c r="C21" s="2" t="str">
        <v>DAM</v>
      </c>
      <c r="D21" s="2" t="str">
        <v>https://example.com/homepage/page-014</v>
      </c>
      <c r="E21" s="2" t="str">
        <v>MISSING_ATTACHMENT</v>
      </c>
      <c r="F21" s="2" t="str">
        <v>High</v>
      </c>
      <c r="G21" s="2" t="str">
        <v>Homepage</v>
      </c>
      <c r="H21" s="2" t="str">
        <v>Frontend Team</v>
      </c>
      <c r="I21" s="2" t="str">
        <v>Resolved</v>
      </c>
      <c r="J21" s="2">
        <v>46187</v>
      </c>
      <c r="K21" s="2" t="str">
        <v>Attachment exists in source but not in target system.</v>
      </c>
    </row>
    <row r="22" spans="1:11" ht="27.6">
      <c r="A22" s="2" t="str">
        <v>VAL-0015</v>
      </c>
      <c r="B22" s="2" t="str">
        <v>Batch_03</v>
      </c>
      <c r="C22" s="2" t="str">
        <v>Legacy_CMS</v>
      </c>
      <c r="D22" s="2" t="str">
        <v>https://example.com/contact-page/page-015</v>
      </c>
      <c r="E22" s="2" t="str">
        <v>MISSING_ATTACHMENT</v>
      </c>
      <c r="F22" s="2" t="str">
        <v>High</v>
      </c>
      <c r="G22" s="2" t="str">
        <v>Contact Page</v>
      </c>
      <c r="H22" s="2" t="str">
        <v>Content Team</v>
      </c>
      <c r="I22" s="2" t="str">
        <v>Resolved</v>
      </c>
      <c r="J22" s="2">
        <v>46191</v>
      </c>
      <c r="K22" s="2" t="str">
        <v>Attachment exists in source but not in target system.</v>
      </c>
    </row>
    <row r="23" spans="1:11">
      <c r="A23" s="2" t="str">
        <v>VAL-0016</v>
      </c>
      <c r="B23" s="2" t="str">
        <v>Batch_01</v>
      </c>
      <c r="C23" s="2" t="str">
        <v>SharePoint</v>
      </c>
      <c r="D23" s="2" t="str">
        <v>https://example.com/search/page-016</v>
      </c>
      <c r="E23" s="2" t="str">
        <v>INVALID_LAYOUT</v>
      </c>
      <c r="F23" s="2" t="str">
        <v>Medium</v>
      </c>
      <c r="G23" s="2" t="str">
        <v>Search</v>
      </c>
      <c r="H23" s="2" t="str">
        <v>QA Team</v>
      </c>
      <c r="I23" s="2" t="str">
        <v>In Progress</v>
      </c>
      <c r="J23" s="2">
        <v>46188</v>
      </c>
      <c r="K23" s="2" t="str">
        <v>Page layout differs from the approved template.</v>
      </c>
    </row>
    <row r="24" spans="1:11">
      <c r="A24" s="2" t="str">
        <v>VAL-0017</v>
      </c>
      <c r="B24" s="2" t="str">
        <v>Batch_02</v>
      </c>
      <c r="C24" s="2" t="str">
        <v>Legacy_CMS</v>
      </c>
      <c r="D24" s="2" t="str">
        <v>https://example.com/gallery/page-017</v>
      </c>
      <c r="E24" s="2" t="str">
        <v>BROKEN_LINK</v>
      </c>
      <c r="F24" s="2" t="str">
        <v>Medium</v>
      </c>
      <c r="G24" s="2" t="str">
        <v>Gallery</v>
      </c>
      <c r="H24" s="2" t="str">
        <v>Migration Team</v>
      </c>
      <c r="I24" s="2" t="str">
        <v>Resolved</v>
      </c>
      <c r="J24" s="2">
        <v>46190</v>
      </c>
      <c r="K24" s="2" t="str">
        <v>Link returns 404 or redirects to an old page.</v>
      </c>
    </row>
    <row r="25" spans="1:11" ht="27.6">
      <c r="A25" s="2" t="str">
        <v>VAL-0018</v>
      </c>
      <c r="B25" s="2" t="str">
        <v>Batch_01</v>
      </c>
      <c r="C25" s="2" t="str">
        <v>SharePoint</v>
      </c>
      <c r="D25" s="2" t="str">
        <v>https://example.com/product-page/page-018</v>
      </c>
      <c r="E25" s="2" t="str">
        <v>MISSING_ATTACHMENT</v>
      </c>
      <c r="F25" s="2" t="str">
        <v>High</v>
      </c>
      <c r="G25" s="2" t="str">
        <v>Product Page</v>
      </c>
      <c r="H25" s="2" t="str">
        <v>QA Team</v>
      </c>
      <c r="I25" s="2" t="str">
        <v>Open</v>
      </c>
      <c r="J25" s="2">
        <v>46177</v>
      </c>
      <c r="K25" s="2" t="str">
        <v>Attachment exists in source but not in target system.</v>
      </c>
    </row>
    <row r="26" spans="1:11">
      <c r="A26" s="2" t="str">
        <v>VAL-0019</v>
      </c>
      <c r="B26" s="2" t="str">
        <v>Batch_02</v>
      </c>
      <c r="C26" s="2" t="str">
        <v>Legacy_CMS</v>
      </c>
      <c r="D26" s="2" t="str">
        <v>https://example.com/gallery/page-019</v>
      </c>
      <c r="E26" s="2" t="str">
        <v>EMPTY_TITLE</v>
      </c>
      <c r="F26" s="2" t="str">
        <v>Low</v>
      </c>
      <c r="G26" s="2" t="str">
        <v>Gallery</v>
      </c>
      <c r="H26" s="2" t="str">
        <v>Frontend Team</v>
      </c>
      <c r="I26" s="2" t="str">
        <v>Open</v>
      </c>
      <c r="J26" s="2">
        <v>46176</v>
      </c>
      <c r="K26" s="2" t="str">
        <v>Title field is empty or not migrated.</v>
      </c>
    </row>
    <row r="27" spans="1:11">
      <c r="A27" s="2" t="str">
        <v>VAL-0020</v>
      </c>
      <c r="B27" s="2" t="str">
        <v>Batch_02</v>
      </c>
      <c r="C27" s="2" t="str">
        <v>DAM</v>
      </c>
      <c r="D27" s="2" t="str">
        <v>https://example.com/article-page/page-020</v>
      </c>
      <c r="E27" s="2" t="str">
        <v>BROKEN_LINK</v>
      </c>
      <c r="F27" s="2" t="str">
        <v>High</v>
      </c>
      <c r="G27" s="2" t="str">
        <v>Article Page</v>
      </c>
      <c r="H27" s="2" t="str">
        <v>QA Team</v>
      </c>
      <c r="I27" s="2" t="str">
        <v>Open</v>
      </c>
      <c r="J27" s="2">
        <v>46179</v>
      </c>
      <c r="K27" s="2" t="str">
        <v>Link returns 404 or redirects to an old page.</v>
      </c>
    </row>
    <row r="28" spans="1:11">
      <c r="A28" s="2" t="str">
        <v>VAL-0021</v>
      </c>
      <c r="B28" s="2" t="str">
        <v>Batch_02</v>
      </c>
      <c r="C28" s="2" t="str">
        <v>DAM</v>
      </c>
      <c r="D28" s="2" t="str">
        <v>https://example.com/landing-page/page-021</v>
      </c>
      <c r="E28" s="2" t="str">
        <v>MISSING_IMAGE</v>
      </c>
      <c r="F28" s="2" t="str">
        <v>High</v>
      </c>
      <c r="G28" s="2" t="str">
        <v>Landing Page</v>
      </c>
      <c r="H28" s="2" t="str">
        <v>Migration Team</v>
      </c>
      <c r="I28" s="2" t="str">
        <v>Open</v>
      </c>
      <c r="J28" s="2">
        <v>46195</v>
      </c>
      <c r="K28" s="2" t="str">
        <v>Image asset is not available after migration.</v>
      </c>
    </row>
    <row r="29" spans="1:11">
      <c r="A29" s="2" t="str">
        <v>VAL-0022</v>
      </c>
      <c r="B29" s="2" t="str">
        <v>Batch_01</v>
      </c>
      <c r="C29" s="2" t="str">
        <v>DAM</v>
      </c>
      <c r="D29" s="2" t="str">
        <v>https://example.com/contact-page/page-022</v>
      </c>
      <c r="E29" s="2" t="str">
        <v>INVALID_LAYOUT</v>
      </c>
      <c r="F29" s="2" t="str">
        <v>High</v>
      </c>
      <c r="G29" s="2" t="str">
        <v>Contact Page</v>
      </c>
      <c r="H29" s="2" t="str">
        <v>Frontend Team</v>
      </c>
      <c r="I29" s="2" t="str">
        <v>Open</v>
      </c>
      <c r="J29" s="2">
        <v>46184</v>
      </c>
      <c r="K29" s="2" t="str">
        <v>Page layout differs from the approved template.</v>
      </c>
    </row>
    <row r="30" spans="1:11">
      <c r="A30" s="2" t="str">
        <v>VAL-0023</v>
      </c>
      <c r="B30" s="2" t="str">
        <v>Batch_01</v>
      </c>
      <c r="C30" s="2" t="str">
        <v>Legacy_CMS</v>
      </c>
      <c r="D30" s="2" t="str">
        <v>https://example.com/downloads/page-023</v>
      </c>
      <c r="E30" s="2" t="str">
        <v>BROKEN_LINK</v>
      </c>
      <c r="F30" s="2" t="str">
        <v>Medium</v>
      </c>
      <c r="G30" s="2" t="str">
        <v>Downloads</v>
      </c>
      <c r="H30" s="2" t="str">
        <v>Content Team</v>
      </c>
      <c r="I30" s="2" t="str">
        <v>In Progress</v>
      </c>
      <c r="J30" s="2">
        <v>46176</v>
      </c>
      <c r="K30" s="2" t="str">
        <v>Link returns 404 or redirects to an old page.</v>
      </c>
    </row>
    <row r="31" spans="1:11">
      <c r="A31" s="2" t="str">
        <v>VAL-0024</v>
      </c>
      <c r="B31" s="2" t="str">
        <v>Batch_02</v>
      </c>
      <c r="C31" s="2" t="str">
        <v>SharePoint</v>
      </c>
      <c r="D31" s="2" t="str">
        <v>https://example.com/article-page/page-024</v>
      </c>
      <c r="E31" s="2" t="str">
        <v>EMPTY_TITLE</v>
      </c>
      <c r="F31" s="2" t="str">
        <v>Low</v>
      </c>
      <c r="G31" s="2" t="str">
        <v>Article Page</v>
      </c>
      <c r="H31" s="2" t="str">
        <v>QA Team</v>
      </c>
      <c r="I31" s="2" t="str">
        <v>In Progress</v>
      </c>
      <c r="J31" s="2">
        <v>46191</v>
      </c>
      <c r="K31" s="2" t="str">
        <v>Title field is empty or not migrated.</v>
      </c>
    </row>
    <row r="32" spans="1:11">
      <c r="A32" s="2" t="str">
        <v>VAL-0025</v>
      </c>
      <c r="B32" s="2" t="str">
        <v>Batch_02</v>
      </c>
      <c r="C32" s="2" t="str">
        <v>Media_Library</v>
      </c>
      <c r="D32" s="2" t="str">
        <v>https://example.com/contact-page/page-025</v>
      </c>
      <c r="E32" s="2" t="str">
        <v>BROKEN_LINK</v>
      </c>
      <c r="F32" s="2" t="str">
        <v>Low</v>
      </c>
      <c r="G32" s="2" t="str">
        <v>Contact Page</v>
      </c>
      <c r="H32" s="2" t="str">
        <v>QA Team</v>
      </c>
      <c r="I32" s="2" t="str">
        <v>In Progress</v>
      </c>
      <c r="J32" s="2">
        <v>46177</v>
      </c>
      <c r="K32" s="2" t="str">
        <v>Link returns 404 or redirects to an old page.</v>
      </c>
    </row>
    <row r="33" spans="1:11">
      <c r="A33" s="2" t="str">
        <v>VAL-0026</v>
      </c>
      <c r="B33" s="2" t="str">
        <v>Batch_04</v>
      </c>
      <c r="C33" s="2" t="str">
        <v>Media_Library</v>
      </c>
      <c r="D33" s="2" t="str">
        <v>https://example.com/landing-page/page-026</v>
      </c>
      <c r="E33" s="2" t="str">
        <v>BROKEN_LINK</v>
      </c>
      <c r="F33" s="2" t="str">
        <v>High</v>
      </c>
      <c r="G33" s="2" t="str">
        <v>Landing Page</v>
      </c>
      <c r="H33" s="2" t="str">
        <v>Content Team</v>
      </c>
      <c r="I33" s="2" t="str">
        <v>Resolved</v>
      </c>
      <c r="J33" s="2">
        <v>46194</v>
      </c>
      <c r="K33" s="2" t="str">
        <v>Link returns 404 or redirects to an old page.</v>
      </c>
    </row>
    <row r="34" spans="1:11">
      <c r="A34" s="2" t="str">
        <v>VAL-0027</v>
      </c>
      <c r="B34" s="2" t="str">
        <v>Batch_03</v>
      </c>
      <c r="C34" s="2" t="str">
        <v>Legacy_CMS</v>
      </c>
      <c r="D34" s="2" t="str">
        <v>https://example.com/landing-page/page-027</v>
      </c>
      <c r="E34" s="2" t="str">
        <v>EMPTY_TITLE</v>
      </c>
      <c r="F34" s="2" t="str">
        <v>Medium</v>
      </c>
      <c r="G34" s="2" t="str">
        <v>Landing Page</v>
      </c>
      <c r="H34" s="2" t="str">
        <v>Frontend Team</v>
      </c>
      <c r="I34" s="2" t="str">
        <v>In Progress</v>
      </c>
      <c r="J34" s="2">
        <v>46180</v>
      </c>
      <c r="K34" s="2" t="str">
        <v>Title field is empty or not migrated.</v>
      </c>
    </row>
    <row r="35" spans="1:11" ht="27.6">
      <c r="A35" s="2" t="str">
        <v>VAL-0028</v>
      </c>
      <c r="B35" s="2" t="str">
        <v>Batch_03</v>
      </c>
      <c r="C35" s="2" t="str">
        <v>Media_Library</v>
      </c>
      <c r="D35" s="2" t="str">
        <v>https://example.com/product-page/page-028</v>
      </c>
      <c r="E35" s="2" t="str">
        <v>MISSING_ATTACHMENT</v>
      </c>
      <c r="F35" s="2" t="str">
        <v>High</v>
      </c>
      <c r="G35" s="2" t="str">
        <v>Product Page</v>
      </c>
      <c r="H35" s="2" t="str">
        <v>Frontend Team</v>
      </c>
      <c r="I35" s="2" t="str">
        <v>Open</v>
      </c>
      <c r="J35" s="2">
        <v>46188</v>
      </c>
      <c r="K35" s="2" t="str">
        <v>Attachment exists in source but not in target system.</v>
      </c>
    </row>
    <row r="36" spans="1:11">
      <c r="A36" s="2" t="str">
        <v>VAL-0029</v>
      </c>
      <c r="B36" s="2" t="str">
        <v>Batch_01</v>
      </c>
      <c r="C36" s="2" t="str">
        <v>Legacy_CMS</v>
      </c>
      <c r="D36" s="2" t="str">
        <v>https://example.com/article-page/page-029</v>
      </c>
      <c r="E36" s="2" t="str">
        <v>EMPTY_TITLE</v>
      </c>
      <c r="F36" s="2" t="str">
        <v>Low</v>
      </c>
      <c r="G36" s="2" t="str">
        <v>Article Page</v>
      </c>
      <c r="H36" s="2" t="str">
        <v>Content Team</v>
      </c>
      <c r="I36" s="2" t="str">
        <v>In Progress</v>
      </c>
      <c r="J36" s="2">
        <v>46179</v>
      </c>
      <c r="K36" s="2" t="str">
        <v>Title field is empty or not migrated.</v>
      </c>
    </row>
    <row r="37" spans="1:11">
      <c r="A37" s="2" t="str">
        <v>VAL-0030</v>
      </c>
      <c r="B37" s="2" t="str">
        <v>Batch_01</v>
      </c>
      <c r="C37" s="2" t="str">
        <v>DAM</v>
      </c>
      <c r="D37" s="2" t="str">
        <v>https://example.com/landing-page/page-030</v>
      </c>
      <c r="E37" s="2" t="str">
        <v>MISSING_IMAGE</v>
      </c>
      <c r="F37" s="2" t="str">
        <v>Medium</v>
      </c>
      <c r="G37" s="2" t="str">
        <v>Landing Page</v>
      </c>
      <c r="H37" s="2" t="str">
        <v>QA Team</v>
      </c>
      <c r="I37" s="2" t="str">
        <v>Open</v>
      </c>
      <c r="J37" s="2">
        <v>46186</v>
      </c>
      <c r="K37" s="2" t="str">
        <v>Image asset is not available after migration.</v>
      </c>
    </row>
    <row r="38" spans="1:11">
      <c r="A38" s="2" t="str">
        <v>VAL-0031</v>
      </c>
      <c r="B38" s="2" t="str">
        <v>Batch_03</v>
      </c>
      <c r="C38" s="2" t="str">
        <v>Media_Library</v>
      </c>
      <c r="D38" s="2" t="str">
        <v>https://example.com/contact-page/page-031</v>
      </c>
      <c r="E38" s="2" t="str">
        <v>MISSING_IMAGE</v>
      </c>
      <c r="F38" s="2" t="str">
        <v>Low</v>
      </c>
      <c r="G38" s="2" t="str">
        <v>Contact Page</v>
      </c>
      <c r="H38" s="2" t="str">
        <v>QA Team</v>
      </c>
      <c r="I38" s="2" t="str">
        <v>In Progress</v>
      </c>
      <c r="J38" s="2">
        <v>46180</v>
      </c>
      <c r="K38" s="2" t="str">
        <v>Image asset is not available after migration.</v>
      </c>
    </row>
    <row r="39" spans="1:11">
      <c r="A39" s="2" t="str">
        <v>VAL-0032</v>
      </c>
      <c r="B39" s="2" t="str">
        <v>Batch_03</v>
      </c>
      <c r="C39" s="2" t="str">
        <v>Legacy_CMS</v>
      </c>
      <c r="D39" s="2" t="str">
        <v>https://example.com/homepage/page-032</v>
      </c>
      <c r="E39" s="2" t="str">
        <v>MISSING_IMAGE</v>
      </c>
      <c r="F39" s="2" t="str">
        <v>High</v>
      </c>
      <c r="G39" s="2" t="str">
        <v>Homepage</v>
      </c>
      <c r="H39" s="2" t="str">
        <v>Content Team</v>
      </c>
      <c r="I39" s="2" t="str">
        <v>Open</v>
      </c>
      <c r="J39" s="2">
        <v>46189</v>
      </c>
      <c r="K39" s="2" t="str">
        <v>Image asset is not available after migration.</v>
      </c>
    </row>
    <row r="40" spans="1:11" ht="27.6">
      <c r="A40" s="2" t="str">
        <v>VAL-0033</v>
      </c>
      <c r="B40" s="2" t="str">
        <v>Batch_01</v>
      </c>
      <c r="C40" s="2" t="str">
        <v>Legacy_CMS</v>
      </c>
      <c r="D40" s="2" t="str">
        <v>https://example.com/product-page/page-033</v>
      </c>
      <c r="E40" s="2" t="str">
        <v>MISSING_ATTACHMENT</v>
      </c>
      <c r="F40" s="2" t="str">
        <v>Medium</v>
      </c>
      <c r="G40" s="2" t="str">
        <v>Product Page</v>
      </c>
      <c r="H40" s="2" t="str">
        <v>Frontend Team</v>
      </c>
      <c r="I40" s="2" t="str">
        <v>Open</v>
      </c>
      <c r="J40" s="2">
        <v>46193</v>
      </c>
      <c r="K40" s="2" t="str">
        <v>Attachment exists in source but not in target system.</v>
      </c>
    </row>
    <row r="41" spans="1:11">
      <c r="A41" t="str">
        <v>VAL-0034</v>
      </c>
      <c r="B41" t="str">
        <v>Batch_01</v>
      </c>
      <c r="C41" t="str">
        <v>DAM</v>
      </c>
      <c r="D41" t="str">
        <v>https://example.com/landing-page/page-034</v>
      </c>
      <c r="E41" t="str">
        <v>BROKEN_LINK</v>
      </c>
      <c r="F41" t="str">
        <v>Low</v>
      </c>
      <c r="G41" t="str">
        <v>Landing Page</v>
      </c>
      <c r="H41" t="str">
        <v>Content Team</v>
      </c>
      <c r="I41" t="str">
        <v>Open</v>
      </c>
      <c r="J41">
        <v>46176</v>
      </c>
      <c r="K41" t="str">
        <v>Link returns 404 or redirects to an old page.</v>
      </c>
    </row>
    <row r="42" spans="1:11">
      <c r="A42" t="str">
        <v>VAL-0035</v>
      </c>
      <c r="B42" t="str">
        <v>Batch_03</v>
      </c>
      <c r="C42" t="str">
        <v>DAM</v>
      </c>
      <c r="D42" t="str">
        <v>https://example.com/search/page-035</v>
      </c>
      <c r="E42" t="str">
        <v>MISSING_IMAGE</v>
      </c>
      <c r="F42" t="str">
        <v>Low</v>
      </c>
      <c r="G42" t="str">
        <v>Search</v>
      </c>
      <c r="H42" t="str">
        <v>Migration Team</v>
      </c>
      <c r="I42" t="str">
        <v>In Progress</v>
      </c>
      <c r="J42">
        <v>46182</v>
      </c>
      <c r="K42" t="str">
        <v>Image asset is not available after migration.</v>
      </c>
    </row>
    <row r="43" spans="1:11">
      <c r="A43" t="str">
        <v>VAL-0036</v>
      </c>
      <c r="B43" t="str">
        <v>Batch_04</v>
      </c>
      <c r="C43" t="str">
        <v>SharePoint</v>
      </c>
      <c r="D43" t="str">
        <v>https://example.com/gallery/page-036</v>
      </c>
      <c r="E43" t="str">
        <v>MISSING_IMAGE</v>
      </c>
      <c r="F43" t="str">
        <v>Low</v>
      </c>
      <c r="G43" t="str">
        <v>Gallery</v>
      </c>
      <c r="H43" t="str">
        <v>Content Team</v>
      </c>
      <c r="I43" t="str">
        <v>Open</v>
      </c>
      <c r="J43">
        <v>46188</v>
      </c>
      <c r="K43" t="str">
        <v>Image asset is not available after migration.</v>
      </c>
    </row>
    <row r="44" spans="1:11">
      <c r="A44" t="str">
        <v>VAL-0037</v>
      </c>
      <c r="B44" t="str">
        <v>Batch_01</v>
      </c>
      <c r="C44" t="str">
        <v>DAM</v>
      </c>
      <c r="D44" t="str">
        <v>https://example.com/article-page/page-037</v>
      </c>
      <c r="E44" t="str">
        <v>INVALID_LAYOUT</v>
      </c>
      <c r="F44" t="str">
        <v>Medium</v>
      </c>
      <c r="G44" t="str">
        <v>Article Page</v>
      </c>
      <c r="H44" t="str">
        <v>Migration Team</v>
      </c>
      <c r="I44" t="str">
        <v>In Progress</v>
      </c>
      <c r="J44">
        <v>46185</v>
      </c>
      <c r="K44" t="str">
        <v>Page layout differs from the approved template.</v>
      </c>
    </row>
    <row r="45" spans="1:11">
      <c r="A45" t="str">
        <v>VAL-0038</v>
      </c>
      <c r="B45" t="str">
        <v>Batch_03</v>
      </c>
      <c r="C45" t="str">
        <v>DAM</v>
      </c>
      <c r="D45" t="str">
        <v>https://example.com/search/page-038</v>
      </c>
      <c r="E45" t="str">
        <v>EMPTY_TITLE</v>
      </c>
      <c r="F45" t="str">
        <v>Low</v>
      </c>
      <c r="G45" t="str">
        <v>Search</v>
      </c>
      <c r="H45" t="str">
        <v>QA Team</v>
      </c>
      <c r="I45" t="str">
        <v>Open</v>
      </c>
      <c r="J45">
        <v>46196</v>
      </c>
      <c r="K45" t="str">
        <v>Title field is empty or not migrated.</v>
      </c>
    </row>
    <row r="46" spans="1:11">
      <c r="A46" t="str">
        <v>VAL-0039</v>
      </c>
      <c r="B46" t="str">
        <v>Batch_03</v>
      </c>
      <c r="C46" t="str">
        <v>Legacy_CMS</v>
      </c>
      <c r="D46" t="str">
        <v>https://example.com/homepage/page-039</v>
      </c>
      <c r="E46" t="str">
        <v>MISSING_IMAGE</v>
      </c>
      <c r="F46" t="str">
        <v>High</v>
      </c>
      <c r="G46" t="str">
        <v>Homepage</v>
      </c>
      <c r="H46" t="str">
        <v>Frontend Team</v>
      </c>
      <c r="I46" t="str">
        <v>Resolved</v>
      </c>
      <c r="J46">
        <v>46177</v>
      </c>
      <c r="K46" t="str">
        <v>Image asset is not available after migration.</v>
      </c>
    </row>
    <row r="47" spans="1:11">
      <c r="A47" t="str">
        <v>VAL-0040</v>
      </c>
      <c r="B47" t="str">
        <v>Batch_03</v>
      </c>
      <c r="C47" t="str">
        <v>SharePoint</v>
      </c>
      <c r="D47" t="str">
        <v>https://example.com/product-page/page-040</v>
      </c>
      <c r="E47" t="str">
        <v>EMPTY_TITLE</v>
      </c>
      <c r="F47" t="str">
        <v>Low</v>
      </c>
      <c r="G47" t="str">
        <v>Product Page</v>
      </c>
      <c r="H47" t="str">
        <v>Frontend Team</v>
      </c>
      <c r="I47" t="str">
        <v>Resolved</v>
      </c>
      <c r="J47">
        <v>46184</v>
      </c>
      <c r="K47" t="str">
        <v>Title field is empty or not migrated.</v>
      </c>
    </row>
    <row r="48" spans="1:11">
      <c r="A48" t="str">
        <v>VAL-0041</v>
      </c>
      <c r="B48" t="str">
        <v>Batch_04</v>
      </c>
      <c r="C48" t="str">
        <v>SharePoint</v>
      </c>
      <c r="D48" t="str">
        <v>https://example.com/gallery/page-041</v>
      </c>
      <c r="E48" t="str">
        <v>BROKEN_LINK</v>
      </c>
      <c r="F48" t="str">
        <v>Medium</v>
      </c>
      <c r="G48" t="str">
        <v>Gallery</v>
      </c>
      <c r="H48" t="str">
        <v>Content Team</v>
      </c>
      <c r="I48" t="str">
        <v>Open</v>
      </c>
      <c r="J48">
        <v>46194</v>
      </c>
      <c r="K48" t="str">
        <v>Link returns 404 or redirects to an old page.</v>
      </c>
    </row>
    <row r="49" spans="1:11">
      <c r="A49" t="str">
        <v>VAL-0042</v>
      </c>
      <c r="B49" t="str">
        <v>Batch_03</v>
      </c>
      <c r="C49" t="str">
        <v>DAM</v>
      </c>
      <c r="D49" t="str">
        <v>https://example.com/homepage/page-042</v>
      </c>
      <c r="E49" t="str">
        <v>MISSING_IMAGE</v>
      </c>
      <c r="F49" t="str">
        <v>Medium</v>
      </c>
      <c r="G49" t="str">
        <v>Homepage</v>
      </c>
      <c r="H49" t="str">
        <v>Migration Team</v>
      </c>
      <c r="I49" t="str">
        <v>In Progress</v>
      </c>
      <c r="J49">
        <v>46197</v>
      </c>
      <c r="K49" t="str">
        <v>Image asset is not available after migration.</v>
      </c>
    </row>
    <row r="50" spans="1:11">
      <c r="A50" t="str">
        <v>VAL-0043</v>
      </c>
      <c r="B50" t="str">
        <v>Batch_01</v>
      </c>
      <c r="C50" t="str">
        <v>Legacy_CMS</v>
      </c>
      <c r="D50" t="str">
        <v>https://example.com/homepage/page-043</v>
      </c>
      <c r="E50" t="str">
        <v>MISSING_IMAGE</v>
      </c>
      <c r="F50" t="str">
        <v>Low</v>
      </c>
      <c r="G50" t="str">
        <v>Homepage</v>
      </c>
      <c r="H50" t="str">
        <v>Frontend Team</v>
      </c>
      <c r="I50" t="str">
        <v>Open</v>
      </c>
      <c r="J50">
        <v>46175</v>
      </c>
      <c r="K50" t="str">
        <v>Image asset is not available after migration.</v>
      </c>
    </row>
    <row r="51" spans="1:11">
      <c r="A51" t="str">
        <v>VAL-0044</v>
      </c>
      <c r="B51" t="str">
        <v>Batch_04</v>
      </c>
      <c r="C51" t="str">
        <v>DAM</v>
      </c>
      <c r="D51" t="str">
        <v>https://example.com/product-page/page-044</v>
      </c>
      <c r="E51" t="str">
        <v>EMPTY_TITLE</v>
      </c>
      <c r="F51" t="str">
        <v>Medium</v>
      </c>
      <c r="G51" t="str">
        <v>Product Page</v>
      </c>
      <c r="H51" t="str">
        <v>Content Team</v>
      </c>
      <c r="I51" t="str">
        <v>Resolved</v>
      </c>
      <c r="J51">
        <v>46185</v>
      </c>
      <c r="K51" t="str">
        <v>Title field is empty or not migrated.</v>
      </c>
    </row>
    <row r="52" spans="1:11">
      <c r="A52" t="str">
        <v>VAL-0045</v>
      </c>
      <c r="B52" t="str">
        <v>Batch_03</v>
      </c>
      <c r="C52" t="str">
        <v>DAM</v>
      </c>
      <c r="D52" t="str">
        <v>https://example.com/homepage/page-045</v>
      </c>
      <c r="E52" t="str">
        <v>EMPTY_TITLE</v>
      </c>
      <c r="F52" t="str">
        <v>Low</v>
      </c>
      <c r="G52" t="str">
        <v>Homepage</v>
      </c>
      <c r="H52" t="str">
        <v>Frontend Team</v>
      </c>
      <c r="I52" t="str">
        <v>Resolved</v>
      </c>
      <c r="J52">
        <v>46177</v>
      </c>
      <c r="K52" t="str">
        <v>Title field is empty or not migrated.</v>
      </c>
    </row>
    <row r="53" spans="1:11">
      <c r="A53" t="str">
        <v>VAL-0046</v>
      </c>
      <c r="B53" t="str">
        <v>Batch_02</v>
      </c>
      <c r="C53" t="str">
        <v>DAM</v>
      </c>
      <c r="D53" t="str">
        <v>https://example.com/landing-page/page-046</v>
      </c>
      <c r="E53" t="str">
        <v>MISSING_IMAGE</v>
      </c>
      <c r="F53" t="str">
        <v>Low</v>
      </c>
      <c r="G53" t="str">
        <v>Landing Page</v>
      </c>
      <c r="H53" t="str">
        <v>Frontend Team</v>
      </c>
      <c r="I53" t="str">
        <v>In Progress</v>
      </c>
      <c r="J53">
        <v>46187</v>
      </c>
      <c r="K53" t="str">
        <v>Image asset is not available after migration.</v>
      </c>
    </row>
    <row r="54" spans="1:11">
      <c r="A54" t="str">
        <v>VAL-0047</v>
      </c>
      <c r="B54" t="str">
        <v>Batch_04</v>
      </c>
      <c r="C54" t="str">
        <v>DAM</v>
      </c>
      <c r="D54" t="str">
        <v>https://example.com/search/page-047</v>
      </c>
      <c r="E54" t="str">
        <v>BROKEN_LINK</v>
      </c>
      <c r="F54" t="str">
        <v>Medium</v>
      </c>
      <c r="G54" t="str">
        <v>Search</v>
      </c>
      <c r="H54" t="str">
        <v>Migration Team</v>
      </c>
      <c r="I54" t="str">
        <v>In Progress</v>
      </c>
      <c r="J54">
        <v>46199</v>
      </c>
      <c r="K54" t="str">
        <v>Link returns 404 or redirects to an old page.</v>
      </c>
    </row>
    <row r="55" spans="1:11">
      <c r="A55" t="str">
        <v>VAL-0048</v>
      </c>
      <c r="B55" t="str">
        <v>Batch_04</v>
      </c>
      <c r="C55" t="str">
        <v>DAM</v>
      </c>
      <c r="D55" t="str">
        <v>https://example.com/homepage/page-048</v>
      </c>
      <c r="E55" t="str">
        <v>INVALID_LAYOUT</v>
      </c>
      <c r="F55" t="str">
        <v>High</v>
      </c>
      <c r="G55" t="str">
        <v>Homepage</v>
      </c>
      <c r="H55" t="str">
        <v>Frontend Team</v>
      </c>
      <c r="I55" t="str">
        <v>Open</v>
      </c>
      <c r="J55">
        <v>46185</v>
      </c>
      <c r="K55" t="str">
        <v>Page layout differs from the approved template.</v>
      </c>
    </row>
    <row r="56" spans="1:11">
      <c r="A56" t="str">
        <v>VAL-0049</v>
      </c>
      <c r="B56" t="str">
        <v>Batch_02</v>
      </c>
      <c r="C56" t="str">
        <v>Legacy_CMS</v>
      </c>
      <c r="D56" t="str">
        <v>https://example.com/downloads/page-049</v>
      </c>
      <c r="E56" t="str">
        <v>MISSING_IMAGE</v>
      </c>
      <c r="F56" t="str">
        <v>Low</v>
      </c>
      <c r="G56" t="str">
        <v>Downloads</v>
      </c>
      <c r="H56" t="str">
        <v>Frontend Team</v>
      </c>
      <c r="I56" t="str">
        <v>Open</v>
      </c>
      <c r="J56">
        <v>46184</v>
      </c>
      <c r="K56" t="str">
        <v>Image asset is not available after migration.</v>
      </c>
    </row>
    <row r="57" spans="1:11">
      <c r="A57" t="str">
        <v>VAL-0050</v>
      </c>
      <c r="B57" t="str">
        <v>Batch_03</v>
      </c>
      <c r="C57" t="str">
        <v>Media_Library</v>
      </c>
      <c r="D57" t="str">
        <v>https://example.com/gallery/page-050</v>
      </c>
      <c r="E57" t="str">
        <v>MISSING_IMAGE</v>
      </c>
      <c r="F57" t="str">
        <v>Medium</v>
      </c>
      <c r="G57" t="str">
        <v>Gallery</v>
      </c>
      <c r="H57" t="str">
        <v>Migration Team</v>
      </c>
      <c r="I57" t="str">
        <v>Open</v>
      </c>
      <c r="J57">
        <v>46177</v>
      </c>
      <c r="K57" t="str">
        <v>Image asset is not available after migration.</v>
      </c>
    </row>
    <row r="58" spans="1:11">
      <c r="A58" t="str">
        <v>VAL-0051</v>
      </c>
      <c r="B58" t="str">
        <v>Batch_01</v>
      </c>
      <c r="C58" t="str">
        <v>Legacy_CMS</v>
      </c>
      <c r="D58" t="str">
        <v>https://example.com/gallery/page-051</v>
      </c>
      <c r="E58" t="str">
        <v>EMPTY_TITLE</v>
      </c>
      <c r="F58" t="str">
        <v>Medium</v>
      </c>
      <c r="G58" t="str">
        <v>Gallery</v>
      </c>
      <c r="H58" t="str">
        <v>QA Team</v>
      </c>
      <c r="I58" t="str">
        <v>Resolved</v>
      </c>
      <c r="J58">
        <v>46197</v>
      </c>
      <c r="K58" t="str">
        <v>Title field is empty or not migrated.</v>
      </c>
    </row>
    <row r="59" spans="1:11">
      <c r="A59" t="str">
        <v>VAL-0052</v>
      </c>
      <c r="B59" t="str">
        <v>Batch_04</v>
      </c>
      <c r="C59" t="str">
        <v>DAM</v>
      </c>
      <c r="D59" t="str">
        <v>https://example.com/article-page/page-052</v>
      </c>
      <c r="E59" t="str">
        <v>INVALID_LAYOUT</v>
      </c>
      <c r="F59" t="str">
        <v>High</v>
      </c>
      <c r="G59" t="str">
        <v>Article Page</v>
      </c>
      <c r="H59" t="str">
        <v>Migration Team</v>
      </c>
      <c r="I59" t="str">
        <v>Open</v>
      </c>
      <c r="J59">
        <v>46196</v>
      </c>
      <c r="K59" t="str">
        <v>Page layout differs from the approved template.</v>
      </c>
    </row>
    <row r="60" spans="1:11">
      <c r="A60" t="str">
        <v>VAL-0053</v>
      </c>
      <c r="B60" t="str">
        <v>Batch_03</v>
      </c>
      <c r="C60" t="str">
        <v>Media_Library</v>
      </c>
      <c r="D60" t="str">
        <v>https://example.com/downloads/page-053</v>
      </c>
      <c r="E60" t="str">
        <v>MISSING_IMAGE</v>
      </c>
      <c r="F60" t="str">
        <v>Low</v>
      </c>
      <c r="G60" t="str">
        <v>Downloads</v>
      </c>
      <c r="H60" t="str">
        <v>Content Team</v>
      </c>
      <c r="I60" t="str">
        <v>Resolved</v>
      </c>
      <c r="J60">
        <v>46184</v>
      </c>
      <c r="K60" t="str">
        <v>Image asset is not available after migration.</v>
      </c>
    </row>
    <row r="61" spans="1:11">
      <c r="A61" t="str">
        <v>VAL-0054</v>
      </c>
      <c r="B61" t="str">
        <v>Batch_03</v>
      </c>
      <c r="C61" t="str">
        <v>SharePoint</v>
      </c>
      <c r="D61" t="str">
        <v>https://example.com/article-page/page-054</v>
      </c>
      <c r="E61" t="str">
        <v>INVALID_LAYOUT</v>
      </c>
      <c r="F61" t="str">
        <v>Medium</v>
      </c>
      <c r="G61" t="str">
        <v>Article Page</v>
      </c>
      <c r="H61" t="str">
        <v>QA Team</v>
      </c>
      <c r="I61" t="str">
        <v>Resolved</v>
      </c>
      <c r="J61">
        <v>46186</v>
      </c>
      <c r="K61" t="str">
        <v>Page layout differs from the approved template.</v>
      </c>
    </row>
    <row r="62" spans="1:11">
      <c r="A62" t="str">
        <v>VAL-0055</v>
      </c>
      <c r="B62" t="str">
        <v>Batch_04</v>
      </c>
      <c r="C62" t="str">
        <v>Media_Library</v>
      </c>
      <c r="D62" t="str">
        <v>https://example.com/downloads/page-055</v>
      </c>
      <c r="E62" t="str">
        <v>INVALID_LAYOUT</v>
      </c>
      <c r="F62" t="str">
        <v>Medium</v>
      </c>
      <c r="G62" t="str">
        <v>Downloads</v>
      </c>
      <c r="H62" t="str">
        <v>Frontend Team</v>
      </c>
      <c r="I62" t="str">
        <v>Open</v>
      </c>
      <c r="J62">
        <v>46192</v>
      </c>
      <c r="K62" t="str">
        <v>Page layout differs from the approved template.</v>
      </c>
    </row>
    <row r="63" spans="1:11">
      <c r="A63" t="str">
        <v>VAL-0056</v>
      </c>
      <c r="B63" t="str">
        <v>Batch_03</v>
      </c>
      <c r="C63" t="str">
        <v>SharePoint</v>
      </c>
      <c r="D63" t="str">
        <v>https://example.com/homepage/page-056</v>
      </c>
      <c r="E63" t="str">
        <v>MISSING_IMAGE</v>
      </c>
      <c r="F63" t="str">
        <v>Low</v>
      </c>
      <c r="G63" t="str">
        <v>Homepage</v>
      </c>
      <c r="H63" t="str">
        <v>Frontend Team</v>
      </c>
      <c r="I63" t="str">
        <v>Open</v>
      </c>
      <c r="J63">
        <v>46199</v>
      </c>
      <c r="K63" t="str">
        <v>Image asset is not available after migration.</v>
      </c>
    </row>
    <row r="64" spans="1:11">
      <c r="A64" t="str">
        <v>VAL-0057</v>
      </c>
      <c r="B64" t="str">
        <v>Batch_04</v>
      </c>
      <c r="C64" t="str">
        <v>Media_Library</v>
      </c>
      <c r="D64" t="str">
        <v>https://example.com/contact-page/page-057</v>
      </c>
      <c r="E64" t="str">
        <v>MISSING_ATTACHMENT</v>
      </c>
      <c r="F64" t="str">
        <v>Critical</v>
      </c>
      <c r="G64" t="str">
        <v>Contact Page</v>
      </c>
      <c r="H64" t="str">
        <v>Frontend Team</v>
      </c>
      <c r="I64" t="str">
        <v>Open</v>
      </c>
      <c r="J64">
        <v>46189</v>
      </c>
      <c r="K64" t="str">
        <v>Attachment exists in source but not in target system.</v>
      </c>
    </row>
    <row r="65" spans="1:11">
      <c r="A65" t="str">
        <v>VAL-0058</v>
      </c>
      <c r="B65" t="str">
        <v>Batch_01</v>
      </c>
      <c r="C65" t="str">
        <v>SharePoint</v>
      </c>
      <c r="D65" t="str">
        <v>https://example.com/product-page/page-058</v>
      </c>
      <c r="E65" t="str">
        <v>INVALID_LAYOUT</v>
      </c>
      <c r="F65" t="str">
        <v>Critical</v>
      </c>
      <c r="G65" t="str">
        <v>Product Page</v>
      </c>
      <c r="H65" t="str">
        <v>Migration Team</v>
      </c>
      <c r="I65" t="str">
        <v>Open</v>
      </c>
      <c r="J65">
        <v>46198</v>
      </c>
      <c r="K65" t="str">
        <v>Page layout differs from the approved template.</v>
      </c>
    </row>
    <row r="66" spans="1:11">
      <c r="A66" t="str">
        <v>VAL-0059</v>
      </c>
      <c r="B66" t="str">
        <v>Batch_02</v>
      </c>
      <c r="C66" t="str">
        <v>Legacy_CMS</v>
      </c>
      <c r="D66" t="str">
        <v>https://example.com/downloads/page-059</v>
      </c>
      <c r="E66" t="str">
        <v>BROKEN_LINK</v>
      </c>
      <c r="F66" t="str">
        <v>High</v>
      </c>
      <c r="G66" t="str">
        <v>Downloads</v>
      </c>
      <c r="H66" t="str">
        <v>Content Team</v>
      </c>
      <c r="I66" t="str">
        <v>In Progress</v>
      </c>
      <c r="J66">
        <v>46189</v>
      </c>
      <c r="K66" t="str">
        <v>Link returns 404 or redirects to an old page.</v>
      </c>
    </row>
    <row r="67" spans="1:11">
      <c r="A67" t="str">
        <v>VAL-0060</v>
      </c>
      <c r="B67" t="str">
        <v>Batch_04</v>
      </c>
      <c r="C67" t="str">
        <v>DAM</v>
      </c>
      <c r="D67" t="str">
        <v>https://example.com/contact-page/page-060</v>
      </c>
      <c r="E67" t="str">
        <v>MISSING_ATTACHMENT</v>
      </c>
      <c r="F67" t="str">
        <v>Critical</v>
      </c>
      <c r="G67" t="str">
        <v>Contact Page</v>
      </c>
      <c r="H67" t="str">
        <v>QA Team</v>
      </c>
      <c r="I67" t="str">
        <v>Open</v>
      </c>
      <c r="J67">
        <v>46186</v>
      </c>
      <c r="K67" t="str">
        <v>Attachment exists in source but not in target system.</v>
      </c>
    </row>
    <row r="68" spans="1:11">
      <c r="A68" t="str">
        <v>VAL-0061</v>
      </c>
      <c r="B68" t="str">
        <v>Batch_01</v>
      </c>
      <c r="C68" t="str">
        <v>Media_Library</v>
      </c>
      <c r="D68" t="str">
        <v>https://example.com/homepage/page-061</v>
      </c>
      <c r="E68" t="str">
        <v>MISSING_IMAGE</v>
      </c>
      <c r="F68" t="str">
        <v>Low</v>
      </c>
      <c r="G68" t="str">
        <v>Homepage</v>
      </c>
      <c r="H68" t="str">
        <v>Frontend Team</v>
      </c>
      <c r="I68" t="str">
        <v>In Progress</v>
      </c>
      <c r="J68">
        <v>46199</v>
      </c>
      <c r="K68" t="str">
        <v>Image asset is not available after migration.</v>
      </c>
    </row>
    <row r="69" spans="1:11">
      <c r="A69" t="str">
        <v>VAL-0062</v>
      </c>
      <c r="B69" t="str">
        <v>Batch_02</v>
      </c>
      <c r="C69" t="str">
        <v>Legacy_CMS</v>
      </c>
      <c r="D69" t="str">
        <v>https://example.com/homepage/page-062</v>
      </c>
      <c r="E69" t="str">
        <v>EMPTY_TITLE</v>
      </c>
      <c r="F69" t="str">
        <v>Medium</v>
      </c>
      <c r="G69" t="str">
        <v>Homepage</v>
      </c>
      <c r="H69" t="str">
        <v>QA Team</v>
      </c>
      <c r="I69" t="str">
        <v>In Progress</v>
      </c>
      <c r="J69">
        <v>46199</v>
      </c>
      <c r="K69" t="str">
        <v>Title field is empty or not migrated.</v>
      </c>
    </row>
    <row r="70" spans="1:11">
      <c r="A70" t="str">
        <v>VAL-0063</v>
      </c>
      <c r="B70" t="str">
        <v>Batch_04</v>
      </c>
      <c r="C70" t="str">
        <v>Media_Library</v>
      </c>
      <c r="D70" t="str">
        <v>https://example.com/search/page-063</v>
      </c>
      <c r="E70" t="str">
        <v>MISSING_ATTACHMENT</v>
      </c>
      <c r="F70" t="str">
        <v>Critical</v>
      </c>
      <c r="G70" t="str">
        <v>Search</v>
      </c>
      <c r="H70" t="str">
        <v>QA Team</v>
      </c>
      <c r="I70" t="str">
        <v>In Progress</v>
      </c>
      <c r="J70">
        <v>46197</v>
      </c>
      <c r="K70" t="str">
        <v>Attachment exists in source but not in target system.</v>
      </c>
    </row>
    <row r="71" spans="1:11">
      <c r="A71" t="str">
        <v>VAL-0064</v>
      </c>
      <c r="B71" t="str">
        <v>Batch_03</v>
      </c>
      <c r="C71" t="str">
        <v>Media_Library</v>
      </c>
      <c r="D71" t="str">
        <v>https://example.com/downloads/page-064</v>
      </c>
      <c r="E71" t="str">
        <v>EMPTY_TITLE</v>
      </c>
      <c r="F71" t="str">
        <v>Medium</v>
      </c>
      <c r="G71" t="str">
        <v>Downloads</v>
      </c>
      <c r="H71" t="str">
        <v>Frontend Team</v>
      </c>
      <c r="I71" t="str">
        <v>Resolved</v>
      </c>
      <c r="J71">
        <v>46188</v>
      </c>
      <c r="K71" t="str">
        <v>Title field is empty or not migrated.</v>
      </c>
    </row>
    <row r="72" spans="1:11">
      <c r="A72" t="str">
        <v>VAL-0065</v>
      </c>
      <c r="B72" t="str">
        <v>Batch_03</v>
      </c>
      <c r="C72" t="str">
        <v>SharePoint</v>
      </c>
      <c r="D72" t="str">
        <v>https://example.com/gallery/page-065</v>
      </c>
      <c r="E72" t="str">
        <v>BROKEN_LINK</v>
      </c>
      <c r="F72" t="str">
        <v>High</v>
      </c>
      <c r="G72" t="str">
        <v>Gallery</v>
      </c>
      <c r="H72" t="str">
        <v>Content Team</v>
      </c>
      <c r="I72" t="str">
        <v>In Progress</v>
      </c>
      <c r="J72">
        <v>46178</v>
      </c>
      <c r="K72" t="str">
        <v>Link returns 404 or redirects to an old page.</v>
      </c>
    </row>
    <row r="73" spans="1:11">
      <c r="A73" t="str">
        <v>VAL-0066</v>
      </c>
      <c r="B73" t="str">
        <v>Batch_01</v>
      </c>
      <c r="C73" t="str">
        <v>Media_Library</v>
      </c>
      <c r="D73" t="str">
        <v>https://example.com/downloads/page-066</v>
      </c>
      <c r="E73" t="str">
        <v>BROKEN_LINK</v>
      </c>
      <c r="F73" t="str">
        <v>Medium</v>
      </c>
      <c r="G73" t="str">
        <v>Downloads</v>
      </c>
      <c r="H73" t="str">
        <v>QA Team</v>
      </c>
      <c r="I73" t="str">
        <v>Resolved</v>
      </c>
      <c r="J73">
        <v>46191</v>
      </c>
      <c r="K73" t="str">
        <v>Link returns 404 or redirects to an old page.</v>
      </c>
    </row>
    <row r="74" spans="1:11">
      <c r="A74" t="str">
        <v>VAL-0067</v>
      </c>
      <c r="B74" t="str">
        <v>Batch_04</v>
      </c>
      <c r="C74" t="str">
        <v>Legacy_CMS</v>
      </c>
      <c r="D74" t="str">
        <v>https://example.com/landing-page/page-067</v>
      </c>
      <c r="E74" t="str">
        <v>MISSING_ATTACHMENT</v>
      </c>
      <c r="F74" t="str">
        <v>High</v>
      </c>
      <c r="G74" t="str">
        <v>Landing Page</v>
      </c>
      <c r="H74" t="str">
        <v>QA Team</v>
      </c>
      <c r="I74" t="str">
        <v>Open</v>
      </c>
      <c r="J74">
        <v>46174</v>
      </c>
      <c r="K74" t="str">
        <v>Attachment exists in source but not in target system.</v>
      </c>
    </row>
    <row r="75" spans="1:11">
      <c r="A75" t="str">
        <v>VAL-0068</v>
      </c>
      <c r="B75" t="str">
        <v>Batch_04</v>
      </c>
      <c r="C75" t="str">
        <v>DAM</v>
      </c>
      <c r="D75" t="str">
        <v>https://example.com/landing-page/page-068</v>
      </c>
      <c r="E75" t="str">
        <v>EMPTY_TITLE</v>
      </c>
      <c r="F75" t="str">
        <v>Medium</v>
      </c>
      <c r="G75" t="str">
        <v>Landing Page</v>
      </c>
      <c r="H75" t="str">
        <v>QA Team</v>
      </c>
      <c r="I75" t="str">
        <v>In Progress</v>
      </c>
      <c r="J75">
        <v>46182</v>
      </c>
      <c r="K75" t="str">
        <v>Title field is empty or not migrated.</v>
      </c>
    </row>
    <row r="76" spans="1:11">
      <c r="A76" t="str">
        <v>VAL-0069</v>
      </c>
      <c r="B76" t="str">
        <v>Batch_04</v>
      </c>
      <c r="C76" t="str">
        <v>DAM</v>
      </c>
      <c r="D76" t="str">
        <v>https://example.com/search/page-069</v>
      </c>
      <c r="E76" t="str">
        <v>MISSING_IMAGE</v>
      </c>
      <c r="F76" t="str">
        <v>Medium</v>
      </c>
      <c r="G76" t="str">
        <v>Search</v>
      </c>
      <c r="H76" t="str">
        <v>QA Team</v>
      </c>
      <c r="I76" t="str">
        <v>In Progress</v>
      </c>
      <c r="J76">
        <v>46193</v>
      </c>
      <c r="K76" t="str">
        <v>Image asset is not available after migration.</v>
      </c>
    </row>
    <row r="77" spans="1:11">
      <c r="A77" t="str">
        <v>VAL-0070</v>
      </c>
      <c r="B77" t="str">
        <v>Batch_01</v>
      </c>
      <c r="C77" t="str">
        <v>Media_Library</v>
      </c>
      <c r="D77" t="str">
        <v>https://example.com/homepage/page-070</v>
      </c>
      <c r="E77" t="str">
        <v>MISSING_ATTACHMENT</v>
      </c>
      <c r="F77" t="str">
        <v>Medium</v>
      </c>
      <c r="G77" t="str">
        <v>Homepage</v>
      </c>
      <c r="H77" t="str">
        <v>Frontend Team</v>
      </c>
      <c r="I77" t="str">
        <v>Open</v>
      </c>
      <c r="J77">
        <v>46179</v>
      </c>
      <c r="K77" t="str">
        <v>Attachment exists in source but not in target system.</v>
      </c>
    </row>
    <row r="78" spans="1:11">
      <c r="A78" t="str">
        <v>VAL-0071</v>
      </c>
      <c r="B78" t="str">
        <v>Batch_04</v>
      </c>
      <c r="C78" t="str">
        <v>SharePoint</v>
      </c>
      <c r="D78" t="str">
        <v>https://example.com/downloads/page-071</v>
      </c>
      <c r="E78" t="str">
        <v>BROKEN_LINK</v>
      </c>
      <c r="F78" t="str">
        <v>High</v>
      </c>
      <c r="G78" t="str">
        <v>Downloads</v>
      </c>
      <c r="H78" t="str">
        <v>Migration Team</v>
      </c>
      <c r="I78" t="str">
        <v>Open</v>
      </c>
      <c r="J78">
        <v>46182</v>
      </c>
      <c r="K78" t="str">
        <v>Link returns 404 or redirects to an old page.</v>
      </c>
    </row>
    <row r="79" spans="1:11">
      <c r="A79" t="str">
        <v>VAL-0072</v>
      </c>
      <c r="B79" t="str">
        <v>Batch_01</v>
      </c>
      <c r="C79" t="str">
        <v>Media_Library</v>
      </c>
      <c r="D79" t="str">
        <v>https://example.com/gallery/page-072</v>
      </c>
      <c r="E79" t="str">
        <v>INVALID_LAYOUT</v>
      </c>
      <c r="F79" t="str">
        <v>Medium</v>
      </c>
      <c r="G79" t="str">
        <v>Gallery</v>
      </c>
      <c r="H79" t="str">
        <v>Content Team</v>
      </c>
      <c r="I79" t="str">
        <v>Resolved</v>
      </c>
      <c r="J79">
        <v>46191</v>
      </c>
      <c r="K79" t="str">
        <v>Page layout differs from the approved template.</v>
      </c>
    </row>
    <row r="80" spans="1:11">
      <c r="A80" t="str">
        <v>VAL-0073</v>
      </c>
      <c r="B80" t="str">
        <v>Batch_01</v>
      </c>
      <c r="C80" t="str">
        <v>Legacy_CMS</v>
      </c>
      <c r="D80" t="str">
        <v>https://example.com/downloads/page-073</v>
      </c>
      <c r="E80" t="str">
        <v>BROKEN_LINK</v>
      </c>
      <c r="F80" t="str">
        <v>Low</v>
      </c>
      <c r="G80" t="str">
        <v>Downloads</v>
      </c>
      <c r="H80" t="str">
        <v>Content Team</v>
      </c>
      <c r="I80" t="str">
        <v>In Progress</v>
      </c>
      <c r="J80">
        <v>46180</v>
      </c>
      <c r="K80" t="str">
        <v>Link returns 404 or redirects to an old page.</v>
      </c>
    </row>
    <row r="81" spans="1:11">
      <c r="A81" t="str">
        <v>VAL-0074</v>
      </c>
      <c r="B81" t="str">
        <v>Batch_02</v>
      </c>
      <c r="C81" t="str">
        <v>Media_Library</v>
      </c>
      <c r="D81" t="str">
        <v>https://example.com/downloads/page-074</v>
      </c>
      <c r="E81" t="str">
        <v>EMPTY_TITLE</v>
      </c>
      <c r="F81" t="str">
        <v>Medium</v>
      </c>
      <c r="G81" t="str">
        <v>Downloads</v>
      </c>
      <c r="H81" t="str">
        <v>Content Team</v>
      </c>
      <c r="I81" t="str">
        <v>Open</v>
      </c>
      <c r="J81">
        <v>46180</v>
      </c>
      <c r="K81" t="str">
        <v>Title field is empty or not migrated.</v>
      </c>
    </row>
    <row r="82" spans="1:11">
      <c r="A82" t="str">
        <v>VAL-0075</v>
      </c>
      <c r="B82" t="str">
        <v>Batch_02</v>
      </c>
      <c r="C82" t="str">
        <v>Legacy_CMS</v>
      </c>
      <c r="D82" t="str">
        <v>https://example.com/search/page-075</v>
      </c>
      <c r="E82" t="str">
        <v>MISSING_ATTACHMENT</v>
      </c>
      <c r="F82" t="str">
        <v>High</v>
      </c>
      <c r="G82" t="str">
        <v>Search</v>
      </c>
      <c r="H82" t="str">
        <v>Frontend Team</v>
      </c>
      <c r="I82" t="str">
        <v>Resolved</v>
      </c>
      <c r="J82">
        <v>46177</v>
      </c>
      <c r="K82" t="str">
        <v>Attachment exists in source but not in target system.</v>
      </c>
    </row>
    <row r="83" spans="1:11">
      <c r="A83" t="str">
        <v>VAL-0076</v>
      </c>
      <c r="B83" t="str">
        <v>Batch_04</v>
      </c>
      <c r="C83" t="str">
        <v>DAM</v>
      </c>
      <c r="D83" t="str">
        <v>https://example.com/landing-page/page-076</v>
      </c>
      <c r="E83" t="str">
        <v>MISSING_ATTACHMENT</v>
      </c>
      <c r="F83" t="str">
        <v>Medium</v>
      </c>
      <c r="G83" t="str">
        <v>Landing Page</v>
      </c>
      <c r="H83" t="str">
        <v>Content Team</v>
      </c>
      <c r="I83" t="str">
        <v>Open</v>
      </c>
      <c r="J83">
        <v>46196</v>
      </c>
      <c r="K83" t="str">
        <v>Attachment exists in source but not in target system.</v>
      </c>
    </row>
    <row r="84" spans="1:11">
      <c r="A84" t="str">
        <v>VAL-0077</v>
      </c>
      <c r="B84" t="str">
        <v>Batch_01</v>
      </c>
      <c r="C84" t="str">
        <v>Legacy_CMS</v>
      </c>
      <c r="D84" t="str">
        <v>https://example.com/gallery/page-077</v>
      </c>
      <c r="E84" t="str">
        <v>EMPTY_TITLE</v>
      </c>
      <c r="F84" t="str">
        <v>Medium</v>
      </c>
      <c r="G84" t="str">
        <v>Gallery</v>
      </c>
      <c r="H84" t="str">
        <v>Migration Team</v>
      </c>
      <c r="I84" t="str">
        <v>Open</v>
      </c>
      <c r="J84">
        <v>46187</v>
      </c>
      <c r="K84" t="str">
        <v>Title field is empty or not migrated.</v>
      </c>
    </row>
    <row r="85" spans="1:11">
      <c r="A85" t="str">
        <v>VAL-0078</v>
      </c>
      <c r="B85" t="str">
        <v>Batch_01</v>
      </c>
      <c r="C85" t="str">
        <v>Media_Library</v>
      </c>
      <c r="D85" t="str">
        <v>https://example.com/search/page-078</v>
      </c>
      <c r="E85" t="str">
        <v>INVALID_LAYOUT</v>
      </c>
      <c r="F85" t="str">
        <v>High</v>
      </c>
      <c r="G85" t="str">
        <v>Search</v>
      </c>
      <c r="H85" t="str">
        <v>QA Team</v>
      </c>
      <c r="I85" t="str">
        <v>Open</v>
      </c>
      <c r="J85">
        <v>46187</v>
      </c>
      <c r="K85" t="str">
        <v>Page layout differs from the approved template.</v>
      </c>
    </row>
    <row r="86" spans="1:11">
      <c r="A86" t="str">
        <v>VAL-0079</v>
      </c>
      <c r="B86" t="str">
        <v>Batch_02</v>
      </c>
      <c r="C86" t="str">
        <v>Media_Library</v>
      </c>
      <c r="D86" t="str">
        <v>https://example.com/contact-page/page-079</v>
      </c>
      <c r="E86" t="str">
        <v>EMPTY_TITLE</v>
      </c>
      <c r="F86" t="str">
        <v>Medium</v>
      </c>
      <c r="G86" t="str">
        <v>Contact Page</v>
      </c>
      <c r="H86" t="str">
        <v>Frontend Team</v>
      </c>
      <c r="I86" t="str">
        <v>Resolved</v>
      </c>
      <c r="J86">
        <v>46190</v>
      </c>
      <c r="K86" t="str">
        <v>Title field is empty or not migrated.</v>
      </c>
    </row>
    <row r="87" spans="1:11">
      <c r="A87" t="str">
        <v>VAL-0080</v>
      </c>
      <c r="B87" t="str">
        <v>Batch_04</v>
      </c>
      <c r="C87" t="str">
        <v>Media_Library</v>
      </c>
      <c r="D87" t="str">
        <v>https://example.com/contact-page/page-080</v>
      </c>
      <c r="E87" t="str">
        <v>EMPTY_TITLE</v>
      </c>
      <c r="F87" t="str">
        <v>Medium</v>
      </c>
      <c r="G87" t="str">
        <v>Contact Page</v>
      </c>
      <c r="H87" t="str">
        <v>Migration Team</v>
      </c>
      <c r="I87" t="str">
        <v>Resolved</v>
      </c>
      <c r="J87">
        <v>46181</v>
      </c>
      <c r="K87" t="str">
        <v>Title field is empty or not migrated.</v>
      </c>
    </row>
    <row r="88" spans="1:11">
      <c r="A88" t="str">
        <v>VAL-0081</v>
      </c>
      <c r="B88" t="str">
        <v>Batch_02</v>
      </c>
      <c r="C88" t="str">
        <v>Media_Library</v>
      </c>
      <c r="D88" t="str">
        <v>https://example.com/contact-page/page-081</v>
      </c>
      <c r="E88" t="str">
        <v>EMPTY_TITLE</v>
      </c>
      <c r="F88" t="str">
        <v>Medium</v>
      </c>
      <c r="G88" t="str">
        <v>Contact Page</v>
      </c>
      <c r="H88" t="str">
        <v>QA Team</v>
      </c>
      <c r="I88" t="str">
        <v>Resolved</v>
      </c>
      <c r="J88">
        <v>46174</v>
      </c>
      <c r="K88" t="str">
        <v>Title field is empty or not migrated.</v>
      </c>
    </row>
    <row r="89" spans="1:11">
      <c r="A89" t="str">
        <v>VAL-0082</v>
      </c>
      <c r="B89" t="str">
        <v>Batch_02</v>
      </c>
      <c r="C89" t="str">
        <v>SharePoint</v>
      </c>
      <c r="D89" t="str">
        <v>https://example.com/contact-page/page-082</v>
      </c>
      <c r="E89" t="str">
        <v>MISSING_ATTACHMENT</v>
      </c>
      <c r="F89" t="str">
        <v>High</v>
      </c>
      <c r="G89" t="str">
        <v>Contact Page</v>
      </c>
      <c r="H89" t="str">
        <v>Migration Team</v>
      </c>
      <c r="I89" t="str">
        <v>Resolved</v>
      </c>
      <c r="J89">
        <v>46182</v>
      </c>
      <c r="K89" t="str">
        <v>Attachment exists in source but not in target system.</v>
      </c>
    </row>
    <row r="90" spans="1:11">
      <c r="A90" t="str">
        <v>VAL-0083</v>
      </c>
      <c r="B90" t="str">
        <v>Batch_01</v>
      </c>
      <c r="C90" t="str">
        <v>DAM</v>
      </c>
      <c r="D90" t="str">
        <v>https://example.com/gallery/page-083</v>
      </c>
      <c r="E90" t="str">
        <v>EMPTY_TITLE</v>
      </c>
      <c r="F90" t="str">
        <v>Low</v>
      </c>
      <c r="G90" t="str">
        <v>Gallery</v>
      </c>
      <c r="H90" t="str">
        <v>Content Team</v>
      </c>
      <c r="I90" t="str">
        <v>In Progress</v>
      </c>
      <c r="J90">
        <v>46197</v>
      </c>
      <c r="K90" t="str">
        <v>Title field is empty or not migrated.</v>
      </c>
    </row>
    <row r="91" spans="1:11">
      <c r="A91" t="str">
        <v>VAL-0084</v>
      </c>
      <c r="B91" t="str">
        <v>Batch_04</v>
      </c>
      <c r="C91" t="str">
        <v>Media_Library</v>
      </c>
      <c r="D91" t="str">
        <v>https://example.com/downloads/page-084</v>
      </c>
      <c r="E91" t="str">
        <v>MISSING_IMAGE</v>
      </c>
      <c r="F91" t="str">
        <v>Low</v>
      </c>
      <c r="G91" t="str">
        <v>Downloads</v>
      </c>
      <c r="H91" t="str">
        <v>QA Team</v>
      </c>
      <c r="I91" t="str">
        <v>Open</v>
      </c>
      <c r="J91">
        <v>46176</v>
      </c>
      <c r="K91" t="str">
        <v>Image asset is not available after migration.</v>
      </c>
    </row>
    <row r="92" spans="1:11">
      <c r="A92" t="str">
        <v>VAL-0085</v>
      </c>
      <c r="B92" t="str">
        <v>Batch_03</v>
      </c>
      <c r="C92" t="str">
        <v>SharePoint</v>
      </c>
      <c r="D92" t="str">
        <v>https://example.com/downloads/page-085</v>
      </c>
      <c r="E92" t="str">
        <v>MISSING_IMAGE</v>
      </c>
      <c r="F92" t="str">
        <v>Medium</v>
      </c>
      <c r="G92" t="str">
        <v>Downloads</v>
      </c>
      <c r="H92" t="str">
        <v>QA Team</v>
      </c>
      <c r="I92" t="str">
        <v>Open</v>
      </c>
      <c r="J92">
        <v>46190</v>
      </c>
      <c r="K92" t="str">
        <v>Image asset is not available after migration.</v>
      </c>
    </row>
    <row r="93" spans="1:11">
      <c r="A93" t="str">
        <v>VAL-0086</v>
      </c>
      <c r="B93" t="str">
        <v>Batch_03</v>
      </c>
      <c r="C93" t="str">
        <v>Media_Library</v>
      </c>
      <c r="D93" t="str">
        <v>https://example.com/search/page-086</v>
      </c>
      <c r="E93" t="str">
        <v>MISSING_IMAGE</v>
      </c>
      <c r="F93" t="str">
        <v>High</v>
      </c>
      <c r="G93" t="str">
        <v>Search</v>
      </c>
      <c r="H93" t="str">
        <v>Migration Team</v>
      </c>
      <c r="I93" t="str">
        <v>Resolved</v>
      </c>
      <c r="J93">
        <v>46182</v>
      </c>
      <c r="K93" t="str">
        <v>Image asset is not available after migration.</v>
      </c>
    </row>
    <row r="94" spans="1:11">
      <c r="A94" t="str">
        <v>VAL-0087</v>
      </c>
      <c r="B94" t="str">
        <v>Batch_01</v>
      </c>
      <c r="C94" t="str">
        <v>DAM</v>
      </c>
      <c r="D94" t="str">
        <v>https://example.com/search/page-087</v>
      </c>
      <c r="E94" t="str">
        <v>BROKEN_LINK</v>
      </c>
      <c r="F94" t="str">
        <v>Medium</v>
      </c>
      <c r="G94" t="str">
        <v>Search</v>
      </c>
      <c r="H94" t="str">
        <v>Frontend Team</v>
      </c>
      <c r="I94" t="str">
        <v>In Progress</v>
      </c>
      <c r="J94">
        <v>46197</v>
      </c>
      <c r="K94" t="str">
        <v>Link returns 404 or redirects to an old page.</v>
      </c>
    </row>
    <row r="95" spans="1:11">
      <c r="A95" t="str">
        <v>VAL-0088</v>
      </c>
      <c r="B95" t="str">
        <v>Batch_01</v>
      </c>
      <c r="C95" t="str">
        <v>DAM</v>
      </c>
      <c r="D95" t="str">
        <v>https://example.com/gallery/page-088</v>
      </c>
      <c r="E95" t="str">
        <v>MISSING_ATTACHMENT</v>
      </c>
      <c r="F95" t="str">
        <v>Critical</v>
      </c>
      <c r="G95" t="str">
        <v>Gallery</v>
      </c>
      <c r="H95" t="str">
        <v>Migration Team</v>
      </c>
      <c r="I95" t="str">
        <v>In Progress</v>
      </c>
      <c r="J95">
        <v>46185</v>
      </c>
      <c r="K95" t="str">
        <v>Attachment exists in source but not in target system.</v>
      </c>
    </row>
    <row r="96" spans="1:11">
      <c r="A96" t="str">
        <v>VAL-0089</v>
      </c>
      <c r="B96" t="str">
        <v>Batch_03</v>
      </c>
      <c r="C96" t="str">
        <v>Legacy_CMS</v>
      </c>
      <c r="D96" t="str">
        <v>https://example.com/product-page/page-089</v>
      </c>
      <c r="E96" t="str">
        <v>BROKEN_LINK</v>
      </c>
      <c r="F96" t="str">
        <v>High</v>
      </c>
      <c r="G96" t="str">
        <v>Product Page</v>
      </c>
      <c r="H96" t="str">
        <v>Content Team</v>
      </c>
      <c r="I96" t="str">
        <v>Open</v>
      </c>
      <c r="J96">
        <v>46183</v>
      </c>
      <c r="K96" t="str">
        <v>Link returns 404 or redirects to an old page.</v>
      </c>
    </row>
    <row r="97" spans="1:11">
      <c r="A97" t="str">
        <v>VAL-0090</v>
      </c>
      <c r="B97" t="str">
        <v>Batch_01</v>
      </c>
      <c r="C97" t="str">
        <v>Legacy_CMS</v>
      </c>
      <c r="D97" t="str">
        <v>https://example.com/contact-page/page-090</v>
      </c>
      <c r="E97" t="str">
        <v>INVALID_LAYOUT</v>
      </c>
      <c r="F97" t="str">
        <v>High</v>
      </c>
      <c r="G97" t="str">
        <v>Contact Page</v>
      </c>
      <c r="H97" t="str">
        <v>Migration Team</v>
      </c>
      <c r="I97" t="str">
        <v>Open</v>
      </c>
      <c r="J97">
        <v>46189</v>
      </c>
      <c r="K97" t="str">
        <v>Page layout differs from the approved template.</v>
      </c>
    </row>
  </sheetData>
  <mergeCells count="2">
    <mergeCell ref="A1:K1"/>
    <mergeCell ref="D3:K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300-000000000000}">
          <x14:formula1>
            <xm:f>Lists!$A$2:$A$7</xm:f>
          </x14:formula1>
          <xm:sqref>B3</xm:sqref>
        </x14:dataValidation>
        <x14:dataValidation type="list" xr:uid="{00000000-0002-0000-0300-000001000000}">
          <x14:formula1>
            <xm:f>Lists!$C$2:$C$7</xm:f>
          </x14:formula1>
          <xm:sqref>B4</xm:sqref>
        </x14:dataValidation>
        <x14:dataValidation type="list" xr:uid="{00000000-0002-0000-0300-000002000000}">
          <x14:formula1>
            <xm:f>Lists!$B$2:$B$7</xm:f>
          </x14:formula1>
          <xm:sqref>B5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B837C-42C7-4DA3-819E-1C6F0389B042}">
  <dimension ref="A1:C7"/>
  <sheetViews>
    <sheetView workbookViewId="0">
      <selection activeCell="B15" sqref="B15"/>
    </sheetView>
  </sheetViews>
  <sheetFormatPr defaultRowHeight="13.8"/>
  <cols>
    <col min="1" max="1" width="17.5" customWidth="1"/>
    <col min="2" max="2" width="13.8984375" customWidth="1"/>
    <col min="3" max="3" width="10.09765625" customWidth="1"/>
  </cols>
  <sheetData>
    <row r="1" spans="1:3" ht="27.6">
      <c r="A1" s="16" t="s">
        <v>4</v>
      </c>
      <c r="B1" s="16" t="s">
        <v>5</v>
      </c>
      <c r="C1" s="16" t="s">
        <v>8</v>
      </c>
    </row>
    <row r="2" spans="1:3">
      <c r="A2" s="17" t="s">
        <v>243</v>
      </c>
      <c r="B2" s="17" t="s">
        <v>243</v>
      </c>
      <c r="C2" s="17" t="s">
        <v>243</v>
      </c>
    </row>
    <row r="3" spans="1:3" ht="27.6">
      <c r="A3" s="17" t="s">
        <v>31</v>
      </c>
      <c r="B3" s="17" t="s">
        <v>25</v>
      </c>
      <c r="C3" s="17" t="s">
        <v>28</v>
      </c>
    </row>
    <row r="4" spans="1:3" ht="27.6">
      <c r="A4" s="17" t="s">
        <v>50</v>
      </c>
      <c r="B4" s="17" t="s">
        <v>16</v>
      </c>
      <c r="C4" s="17" t="s">
        <v>42</v>
      </c>
    </row>
    <row r="5" spans="1:3" ht="41.4">
      <c r="A5" s="17" t="s">
        <v>64</v>
      </c>
      <c r="B5" s="17" t="s">
        <v>32</v>
      </c>
      <c r="C5" s="17" t="s">
        <v>19</v>
      </c>
    </row>
    <row r="6" spans="1:3" ht="27.6">
      <c r="A6" s="17" t="s">
        <v>15</v>
      </c>
      <c r="B6" s="17" t="s">
        <v>69</v>
      </c>
      <c r="C6" s="17"/>
    </row>
    <row r="7" spans="1:3" ht="27.6">
      <c r="A7" s="17" t="s">
        <v>39</v>
      </c>
      <c r="B7" s="17"/>
      <c r="C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Report_Data</vt:lpstr>
      <vt:lpstr>Summary</vt:lpstr>
      <vt:lpstr>PivotTable</vt:lpstr>
      <vt:lpstr>Filter_View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 Bancarewicz</dc:creator>
  <cp:lastModifiedBy>Aleks Bancarewicz</cp:lastModifiedBy>
  <dcterms:created xsi:type="dcterms:W3CDTF">2026-07-04T17:37:22Z</dcterms:created>
  <dcterms:modified xsi:type="dcterms:W3CDTF">2026-07-04T18:38:17Z</dcterms:modified>
</cp:coreProperties>
</file>